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fa94e5687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覆盖" sheetId="1" r:id="Ra025897fd90a4479"/>
    <x:sheet xmlns:r="http://schemas.openxmlformats.org/officeDocument/2006/relationships" name="测试用例" sheetId="2" r:id="Rac1d73ede78d4d7b"/>
    <x:sheet xmlns:r="http://schemas.openxmlformats.org/officeDocument/2006/relationships" name="ngram与gojieba对照" sheetId="3" r:id="R28336e46338b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4E78"/>
      <x:name val="Carlito"/>
    </x:font>
    <x:font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right style="thin">
        <x:color rgb="FFD9EAD3"/>
      </x:right>
      <x:bottom style="thin">
        <x:color rgb="FFD9EAD3"/>
      </x:bottom>
    </x:border>
    <x:border>
      <x:left style="thin">
        <x:color rgb="FFD9EAD3"/>
      </x:left>
      <x:bottom style="thin">
        <x:color rgb="FFD9EAD3"/>
      </x:bottom>
    </x:border>
    <x:border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AD3"/>
      </x:left>
      <x:top style="thin">
        <x:color rgb="FFD9EAD3"/>
      </x:top>
      <x:bottom style="thin">
        <x:color rgb="FFD9EAD3"/>
      </x:bottom>
    </x:border>
    <x:border>
      <x:right style="thin">
        <x:color rgb="FFD9EAD3"/>
      </x:right>
      <x:top style="thin">
        <x:color rgb="FFD9EAD3"/>
      </x:top>
    </x:border>
    <x:border>
      <x:left style="thin">
        <x:color rgb="FFD9EAD3"/>
      </x:left>
      <x:top style="thin">
        <x:color rgb="FFD9EAD3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799e2118546b1" /><Relationship Type="http://schemas.openxmlformats.org/officeDocument/2006/relationships/theme" Target="/xl/theme/theme1.xml" Id="Ra682dfd977594b7a" /><Relationship Type="http://schemas.openxmlformats.org/officeDocument/2006/relationships/sharedStrings" Target="/xl/sharedStrings.xml" Id="Rcb929141ce224eef" /><Relationship Type="http://schemas.openxmlformats.org/officeDocument/2006/relationships/worksheet" Target="/xl/worksheets/sheet1.xml" Id="Ra025897fd90a4479" /><Relationship Type="http://schemas.openxmlformats.org/officeDocument/2006/relationships/worksheet" Target="/xl/worksheets/sheet2.xml" Id="Rac1d73ede78d4d7b" /><Relationship Type="http://schemas.openxmlformats.org/officeDocument/2006/relationships/worksheet" Target="/xl/worksheets/sheet3.xml" Id="R28336e46338b47a1" /><Relationship Type="http://schemas.microsoft.com/office/2017/10/relationships/person" Target="/xl/persons/person.xml" Id="R4fa89e79613f4a49" /></Relationships>
</file>

<file path=xl/persons/person.xml><?xml version="1.0" encoding="utf-8"?>
<xltc:personList xmlns:xltc="http://schemas.microsoft.com/office/spreadsheetml/2018/threadedcomments">
  <xltc:person displayName="Ariznawlll" id="{4AA67958-4DC9-4CE9-9D10-BEAE6B6D13C7}"/>
</xltc:personList>
</file>

<file path=xl/tables/table1.xml><?xml version="1.0" encoding="utf-8"?>
<x:table xmlns:x="http://schemas.openxmlformats.org/spreadsheetml/2006/main" id="1" name="GoJiebaTestCases" displayName="GoJiebaTestCases" ref="A1:L82" headerRowCount="1" totalsRowCount="0" totalsRowShown="0">
  <x:autoFilter ref="A1:L82"/>
  <x:tableColumns count="12">
    <x:tableColumn id="1" name="用例ID"/>
    <x:tableColumn id="2" name="一级模块"/>
    <x:tableColumn id="3" name="二级模块"/>
    <x:tableColumn id="4" name="测试点"/>
    <x:tableColumn id="5" name="前置条件/测试数据"/>
    <x:tableColumn id="6" name="测试步骤"/>
    <x:tableColumn id="7" name="预期结果"/>
    <x:tableColumn id="8" name="优先级"/>
    <x:tableColumn id="9" name="建议回归层级"/>
    <x:tableColumn id="10" name="自动化建议"/>
    <x:tableColumn id="11" name="备注/关联"/>
    <x:tableColumn id="12" name="测试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2b1229b52a40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0" hidden="0" customWidth="1"/>
    <x:col min="4" max="4" width="10" hidden="0" customWidth="1"/>
    <x:col min="5" max="5" width="24" hidden="0" customWidth="1"/>
    <x:col min="6" max="6" width="58" hidden="0" customWidth="1"/>
    <x:col min="7" max="7" width="3" hidden="0" customWidth="1"/>
    <x:col min="8" max="8" width="18" hidden="0" customWidth="1"/>
    <x:col min="9" max="9" width="12" hidden="0" customWidth="1"/>
  </x:cols>
  <x:sheetData>
    <x:row r="1" ht="32" customHeight="1">
      <x:c r="A1" s="4" t="str">
        <x:v>MatrixOne GoJieba 全文索引测试设计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7" t="str">
        <x:v>基于 FullText 原始测试设计扩展；区分 GoJieba 特有契约、公共 FullText 回归和 ngram 对照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>
      <x:c r="A4" s="10" t="str">
        <x:v>项目</x:v>
      </x:c>
      <x:c r="B4" s="10" t="str">
        <x:v>内容</x:v>
      </x:c>
      <x:c r="C4" s="51"/>
      <x:c r="D4" s="51"/>
      <x:c r="E4" s="51"/>
      <x:c r="F4" s="51"/>
      <x:c r="G4" s="51"/>
      <x:c r="H4" s="40" t="str">
        <x:v>汇总</x:v>
      </x:c>
      <x:c r="I4" s="40" t="str">
        <x:v>数量</x:v>
      </x:c>
      <x:c r="J4" s="51"/>
    </x:row>
    <x:row r="5">
      <x:c r="A5" s="23" t="str">
        <x:v>MatrixOne 基线</x:v>
      </x:c>
      <x:c r="B5" s="24" t="str">
        <x:v>main（设计依据：feature #24271 / PR #24297）</x:v>
      </x:c>
      <x:c r="C5" s="51"/>
      <x:c r="D5" s="51"/>
      <x:c r="E5" s="51"/>
      <x:c r="F5" s="51"/>
      <x:c r="G5" s="51"/>
      <x:c r="H5" s="41" t="str">
        <x:v>全部用例</x:v>
      </x:c>
      <x:c r="I5" s="42" t="n">
        <x:f>COUNTA('测试用例'!$A$2:$A$82)</x:f>
        <x:v>81</x:v>
      </x:c>
      <x:c r="J5" s="51"/>
    </x:row>
    <x:row r="6">
      <x:c r="A6" s="25" t="str">
        <x:v>功能入口</x:v>
      </x:c>
      <x:c r="B6" s="26" t="str">
        <x:v>CREATE FULLTEXT INDEX ... WITH PARSER gojieba</x:v>
      </x:c>
      <x:c r="C6" s="51"/>
      <x:c r="D6" s="51"/>
      <x:c r="E6" s="51"/>
      <x:c r="F6" s="51"/>
      <x:c r="G6" s="51"/>
      <x:c r="H6" s="43" t="str">
        <x:v>P0</x:v>
      </x:c>
      <x:c r="I6" s="44" t="n">
        <x:f>COUNTIF('测试用例'!$H$2:$H$82,"P0")</x:f>
        <x:v>50</x:v>
      </x:c>
      <x:c r="J6" s="51"/>
    </x:row>
    <x:row r="7">
      <x:c r="A7" s="25" t="str">
        <x:v>核心差异</x:v>
      </x:c>
      <x:c r="B7" s="26" t="str">
        <x:v>ngram 按连续 3 字符切片；gojieba 按静态中文词典分词</x:v>
      </x:c>
      <x:c r="C7" s="51"/>
      <x:c r="D7" s="51"/>
      <x:c r="E7" s="51"/>
      <x:c r="F7" s="51"/>
      <x:c r="G7" s="51"/>
      <x:c r="H7" s="43" t="str">
        <x:v>P1</x:v>
      </x:c>
      <x:c r="I7" s="44" t="n">
        <x:f>COUNTIF('测试用例'!$H$2:$H$82,"P1")</x:f>
        <x:v>31</x:v>
      </x:c>
      <x:c r="J7" s="51"/>
    </x:row>
    <x:row r="8">
      <x:c r="A8" s="25" t="str">
        <x:v>分词模式</x:v>
      </x:c>
      <x:c r="B8" s="26" t="str">
        <x:v>索引侧和查询侧均使用 HMM=false，保证 dictionary-only 结果一致</x:v>
      </x:c>
      <x:c r="C8" s="51"/>
      <x:c r="D8" s="51"/>
      <x:c r="E8" s="51"/>
      <x:c r="F8" s="51"/>
      <x:c r="G8" s="51"/>
      <x:c r="H8" s="43" t="str">
        <x:v>P2</x:v>
      </x:c>
      <x:c r="I8" s="44" t="n">
        <x:f>COUNTIF('测试用例'!$H$2:$H$82,"P2")</x:f>
        <x:v>0</x:v>
      </x:c>
      <x:c r="J8" s="51"/>
    </x:row>
    <x:row r="9">
      <x:c r="A9" s="25" t="str">
        <x:v>支持列类型</x:v>
      </x:c>
      <x:c r="B9" s="26" t="str">
        <x:v>CHAR、VARCHAR、TEXT、JSON、DATALINK；FullText 表必须有真实主键</x:v>
      </x:c>
      <x:c r="C9" s="51"/>
      <x:c r="D9" s="51"/>
      <x:c r="E9" s="51"/>
      <x:c r="F9" s="51"/>
      <x:c r="G9" s="51"/>
      <x:c r="H9" s="43" t="str">
        <x:v>自动化</x:v>
      </x:c>
      <x:c r="I9" s="44" t="n">
        <x:f>COUNTIF('测试用例'!$J$2:$J$82,"自动化")</x:f>
        <x:v>71</x:v>
      </x:c>
      <x:c r="J9" s="51"/>
    </x:row>
    <x:row r="10">
      <x:c r="A10" s="25" t="str">
        <x:v>评分算法</x:v>
      </x:c>
      <x:c r="B10" s="26" t="str">
        <x:v>TF-IDF、BM25</x:v>
      </x:c>
      <x:c r="C10" s="51"/>
      <x:c r="D10" s="51"/>
      <x:c r="E10" s="51"/>
      <x:c r="F10" s="51"/>
      <x:c r="G10" s="51"/>
      <x:c r="H10" s="45" t="str">
        <x:v>Issue Skip</x:v>
      </x:c>
      <x:c r="I10" s="46" t="n">
        <x:f>COUNTIF('测试用例'!$J$2:$J$82,"Issue Skip")</x:f>
        <x:v>2</x:v>
      </x:c>
      <x:c r="J10" s="51"/>
    </x:row>
    <x:row r="11">
      <x:c r="A11" s="27" t="str">
        <x:v>部署依赖</x:v>
      </x:c>
      <x:c r="B11" s="28" t="str">
        <x:v>五个 jieba 词典文件；支持 MO_JIEBA_DICT_DIR、二进制同级 dict 和 FHS 目录</x:v>
      </x:c>
      <x:c r="C11" s="51"/>
      <x:c r="D11" s="51"/>
      <x:c r="E11" s="51"/>
      <x:c r="F11" s="51"/>
      <x:c r="G11" s="51"/>
      <x:c r="H11" s="51"/>
      <x:c r="I11" s="51"/>
      <x:c r="J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</x:row>
    <x:row r="13">
      <x:c r="A13" s="10" t="str">
        <x:v>覆盖模块</x:v>
      </x:c>
      <x:c r="B13" s="10" t="str">
        <x:v>用例数</x:v>
      </x:c>
      <x:c r="C13" s="10" t="str">
        <x:v>P0</x:v>
      </x:c>
      <x:c r="D13" s="10" t="str">
        <x:v>P1</x:v>
      </x:c>
      <x:c r="E13" s="10" t="str">
        <x:v>主要回归层级</x:v>
      </x:c>
      <x:c r="F13" s="10" t="str">
        <x:v>评审重点</x:v>
      </x:c>
      <x:c r="G13" s="51"/>
      <x:c r="H13" s="51"/>
      <x:c r="I13" s="51"/>
      <x:c r="J13" s="51"/>
    </x:row>
    <x:row r="14">
      <x:c r="A14" s="23" t="str">
        <x:v>功能</x:v>
      </x:c>
      <x:c r="B14" s="35" t="n">
        <x:f>COUNTIF('测试用例'!$B$2:$B$82,A14)</x:f>
        <x:v>12</x:v>
      </x:c>
      <x:c r="C14" s="35" t="n">
        <x:f>COUNTIFS('测试用例'!$B$2:$B$82,A14,'测试用例'!$H$2:$H$82,"P0")</x:f>
        <x:v>7</x:v>
      </x:c>
      <x:c r="D14" s="35" t="n">
        <x:f>COUNTIFS('测试用例'!$B$2:$B$82,A14,'测试用例'!$H$2:$H$82,"P1")</x:f>
        <x:v>5</x:v>
      </x:c>
      <x:c r="E14" s="35" t="str">
        <x:v>BVT / Nightly</x:v>
      </x:c>
      <x:c r="F14" s="24" t="str">
        <x:v>DDL、索引参数、支持类型、同步/异步</x:v>
      </x:c>
      <x:c r="G14" s="51"/>
      <x:c r="H14" s="51"/>
      <x:c r="I14" s="51"/>
      <x:c r="J14" s="51"/>
    </x:row>
    <x:row r="15">
      <x:c r="A15" s="25" t="str">
        <x:v>分词正确性</x:v>
      </x:c>
      <x:c r="B15" s="36" t="n">
        <x:f>COUNTIF('测试用例'!$B$2:$B$82,A15)</x:f>
        <x:v>14</x:v>
      </x:c>
      <x:c r="C15" s="36" t="n">
        <x:f>COUNTIFS('测试用例'!$B$2:$B$82,A15,'测试用例'!$H$2:$H$82,"P0")</x:f>
        <x:v>8</x:v>
      </x:c>
      <x:c r="D15" s="36" t="n">
        <x:f>COUNTIFS('测试用例'!$B$2:$B$82,A15,'测试用例'!$H$2:$H$82,"P1")</x:f>
        <x:v>6</x:v>
      </x:c>
      <x:c r="E15" s="36" t="str">
        <x:v>BVT / Nightly</x:v>
      </x:c>
      <x:c r="F15" s="26" t="str">
        <x:v>词典分词、UTF-8 位置、HMM=false、多列边界、长 token</x:v>
      </x:c>
      <x:c r="G15" s="51"/>
      <x:c r="H15" s="51"/>
      <x:c r="I15" s="51"/>
      <x:c r="J15" s="51"/>
    </x:row>
    <x:row r="16">
      <x:c r="A16" s="25" t="str">
        <x:v>查询</x:v>
      </x:c>
      <x:c r="B16" s="36" t="n">
        <x:f>COUNTIF('测试用例'!$B$2:$B$82,A16)</x:f>
        <x:v>24</x:v>
      </x:c>
      <x:c r="C16" s="36" t="n">
        <x:f>COUNTIFS('测试用例'!$B$2:$B$82,A16,'测试用例'!$H$2:$H$82,"P0")</x:f>
        <x:v>13</x:v>
      </x:c>
      <x:c r="D16" s="36" t="n">
        <x:f>COUNTIFS('测试用例'!$B$2:$B$82,A16,'测试用例'!$H$2:$H$82,"P1")</x:f>
        <x:v>11</x:v>
      </x:c>
      <x:c r="E16" s="36" t="str">
        <x:v>BVT / Nightly</x:v>
      </x:c>
      <x:c r="F16" s="26" t="str">
        <x:v>Natural Language、Boolean、Phrase、TF-IDF/BM25、SQL 组合</x:v>
      </x:c>
      <x:c r="G16" s="51"/>
      <x:c r="H16" s="51"/>
      <x:c r="I16" s="51"/>
      <x:c r="J16" s="51"/>
    </x:row>
    <x:row r="17">
      <x:c r="A17" s="25" t="str">
        <x:v>一致性</x:v>
      </x:c>
      <x:c r="B17" s="36" t="n">
        <x:f>COUNTIF('测试用例'!$B$2:$B$82,A17)</x:f>
        <x:v>11</x:v>
      </x:c>
      <x:c r="C17" s="36" t="n">
        <x:f>COUNTIFS('测试用例'!$B$2:$B$82,A17,'测试用例'!$H$2:$H$82,"P0")</x:f>
        <x:v>8</x:v>
      </x:c>
      <x:c r="D17" s="36" t="n">
        <x:f>COUNTIFS('测试用例'!$B$2:$B$82,A17,'测试用例'!$H$2:$H$82,"P1")</x:f>
        <x:v>3</x:v>
      </x:c>
      <x:c r="E17" s="36" t="str">
        <x:v>BVT / Nightly / Stability</x:v>
      </x:c>
      <x:c r="F17" s="26" t="str">
        <x:v>DML、事务、并发、索引维护</x:v>
      </x:c>
      <x:c r="G17" s="51"/>
      <x:c r="H17" s="51"/>
      <x:c r="I17" s="51"/>
      <x:c r="J17" s="51"/>
    </x:row>
    <x:row r="18">
      <x:c r="A18" s="25" t="str">
        <x:v>部署</x:v>
      </x:c>
      <x:c r="B18" s="36" t="n">
        <x:f>COUNTIF('测试用例'!$B$2:$B$82,A18)</x:f>
        <x:v>3</x:v>
      </x:c>
      <x:c r="C18" s="36" t="n">
        <x:f>COUNTIFS('测试用例'!$B$2:$B$82,A18,'测试用例'!$H$2:$H$82,"P0")</x:f>
        <x:v>2</x:v>
      </x:c>
      <x:c r="D18" s="36" t="n">
        <x:f>COUNTIFS('测试用例'!$B$2:$B$82,A18,'测试用例'!$H$2:$H$82,"P1")</x:f>
        <x:v>1</x:v>
      </x:c>
      <x:c r="E18" s="36" t="str">
        <x:v>BVT / Nightly</x:v>
      </x:c>
      <x:c r="F18" s="26" t="str">
        <x:v>词典发现、容器布局、共享 tokenizer</x:v>
      </x:c>
      <x:c r="G18" s="51"/>
      <x:c r="H18" s="51"/>
      <x:c r="I18" s="51"/>
      <x:c r="J18" s="51"/>
    </x:row>
    <x:row r="19">
      <x:c r="A19" s="25" t="str">
        <x:v>异常</x:v>
      </x:c>
      <x:c r="B19" s="36" t="n">
        <x:f>COUNTIF('测试用例'!$B$2:$B$82,A19)</x:f>
        <x:v>5</x:v>
      </x:c>
      <x:c r="C19" s="36" t="n">
        <x:f>COUNTIFS('测试用例'!$B$2:$B$82,A19,'测试用例'!$H$2:$H$82,"P0")</x:f>
        <x:v>3</x:v>
      </x:c>
      <x:c r="D19" s="36" t="n">
        <x:f>COUNTIFS('测试用例'!$B$2:$B$82,A19,'测试用例'!$H$2:$H$82,"P1")</x:f>
        <x:v>2</x:v>
      </x:c>
      <x:c r="E19" s="36" t="str">
        <x:v>BVT / Nightly</x:v>
      </x:c>
      <x:c r="F19" s="26" t="str">
        <x:v>词典缺失、错误缓存、故障恢复</x:v>
      </x:c>
      <x:c r="G19" s="51"/>
      <x:c r="H19" s="51"/>
      <x:c r="I19" s="51"/>
      <x:c r="J19" s="51"/>
    </x:row>
    <x:row r="20">
      <x:c r="A20" s="25" t="str">
        <x:v>恢复</x:v>
      </x:c>
      <x:c r="B20" s="36" t="n">
        <x:f>COUNTIF('测试用例'!$B$2:$B$82,A20)</x:f>
        <x:v>4</x:v>
      </x:c>
      <x:c r="C20" s="36" t="n">
        <x:f>COUNTIFS('测试用例'!$B$2:$B$82,A20,'测试用例'!$H$2:$H$82,"P0")</x:f>
        <x:v>2</x:v>
      </x:c>
      <x:c r="D20" s="36" t="n">
        <x:f>COUNTIFS('测试用例'!$B$2:$B$82,A20,'测试用例'!$H$2:$H$82,"P1")</x:f>
        <x:v>2</x:v>
      </x:c>
      <x:c r="E20" s="36" t="str">
        <x:v>BVT / Nightly</x:v>
      </x:c>
      <x:c r="F20" s="26" t="str">
        <x:v>Snapshot、备份恢复、PITR、升级切换</x:v>
      </x:c>
      <x:c r="G20" s="51"/>
      <x:c r="H20" s="51"/>
      <x:c r="I20" s="51"/>
      <x:c r="J20" s="51"/>
    </x:row>
    <x:row r="21">
      <x:c r="A21" s="27" t="str">
        <x:v>性能</x:v>
      </x:c>
      <x:c r="B21" s="37" t="n">
        <x:f>COUNTIF('测试用例'!$B$2:$B$82,A21)</x:f>
        <x:v>8</x:v>
      </x:c>
      <x:c r="C21" s="37" t="n">
        <x:f>COUNTIFS('测试用例'!$B$2:$B$82,A21,'测试用例'!$H$2:$H$82,"P0")</x:f>
        <x:v>7</x:v>
      </x:c>
      <x:c r="D21" s="37" t="n">
        <x:f>COUNTIFS('测试用例'!$B$2:$B$82,A21,'测试用例'!$H$2:$H$82,"P1")</x:f>
        <x:v>1</x:v>
      </x:c>
      <x:c r="E21" s="37" t="str">
        <x:v>BigData / Performance</x:v>
      </x:c>
      <x:c r="F21" s="28" t="str">
        <x:v>ngram 对照、索引规模、Top-K、并发、稳定性</x:v>
      </x:c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</x:row>
    <x:row r="24">
      <x:c r="A24" s="48" t="str">
        <x:v>参考资料</x:v>
      </x:c>
      <x:c r="B24" s="48"/>
      <x:c r="C24" s="48"/>
      <x:c r="D24" s="48"/>
      <x:c r="E24" s="48"/>
      <x:c r="F24" s="48"/>
      <x:c r="G24" s="48"/>
      <x:c r="H24" s="48"/>
      <x:c r="I24" s="48"/>
      <x:c r="J24" s="48"/>
    </x:row>
    <x:row r="25">
      <x:c r="A25" s="50" t="str">
        <x:v>Feature: https://github.com/matrixorigin/matrixone/issues/24271</x:v>
      </x:c>
      <x:c r="B25" s="50"/>
      <x:c r="C25" s="50"/>
      <x:c r="D25" s="50"/>
      <x:c r="E25" s="50"/>
      <x:c r="F25" s="50"/>
      <x:c r="G25" s="50"/>
      <x:c r="H25" s="50"/>
      <x:c r="I25" s="50"/>
      <x:c r="J25" s="50"/>
    </x:row>
    <x:row r="26">
      <x:c r="A26" s="50" t="str">
        <x:v>Implementation: https://github.com/matrixorigin/matrixone/pull/24297</x:v>
      </x:c>
      <x:c r="B26" s="50"/>
      <x:c r="C26" s="50"/>
      <x:c r="D26" s="50"/>
      <x:c r="E26" s="50"/>
      <x:c r="F26" s="50"/>
      <x:c r="G26" s="50"/>
      <x:c r="H26" s="50"/>
      <x:c r="I26" s="50"/>
      <x:c r="J26" s="50"/>
    </x:row>
    <x:row r="27">
      <x:c r="A27" s="50" t="str">
        <x:v>Existing BVT: test/distributed/cases/fulltext/gojieba.sql</x:v>
      </x:c>
      <x:c r="B27" s="50"/>
      <x:c r="C27" s="50"/>
      <x:c r="D27" s="50"/>
      <x:c r="E27" s="50"/>
      <x:c r="F27" s="50"/>
      <x:c r="G27" s="50"/>
      <x:c r="H27" s="50"/>
      <x:c r="I27" s="50"/>
      <x:c r="J27" s="50"/>
    </x:row>
    <x:row r="28">
      <x:c r="A28" s="50" t="str">
        <x:v>Known query-shape issue: https://github.com/matrixorigin/matrixone/issues/25890</x:v>
      </x:c>
      <x:c r="B28" s="50"/>
      <x:c r="C28" s="50"/>
      <x:c r="D28" s="50"/>
      <x:c r="E28" s="50"/>
      <x:c r="F28" s="50"/>
      <x:c r="G28" s="50"/>
      <x:c r="H28" s="50"/>
      <x:c r="I28" s="50"/>
      <x:c r="J28" s="50"/>
    </x:row>
    <x:row r="29">
      <x:c r="A29" s="50" t="str">
        <x:v>Known subquery issue: https://github.com/matrixorigin/matrixone/issues/25891</x:v>
      </x:c>
      <x:c r="B29" s="50"/>
      <x:c r="C29" s="50"/>
      <x:c r="D29" s="50"/>
      <x:c r="E29" s="50"/>
      <x:c r="F29" s="50"/>
      <x:c r="G29" s="50"/>
      <x:c r="H29" s="50"/>
      <x:c r="I29" s="50"/>
      <x:c r="J29" s="50"/>
    </x:row>
    <x:row r="30">
      <x:c r="A30" s="50" t="str">
        <x:v>Source template: fulltext测试设计.xlsx</x:v>
      </x:c>
      <x:c r="B30" s="50"/>
      <x:c r="C30" s="50"/>
      <x:c r="D30" s="50"/>
      <x:c r="E30" s="50"/>
      <x:c r="F30" s="50"/>
      <x:c r="G30" s="50"/>
      <x:c r="H30" s="50"/>
      <x:c r="I30" s="50"/>
      <x:c r="J30" s="50"/>
    </x:row>
  </x:sheetData>
  <x:mergeCells>
    <x:mergeCell ref="A1:J1"/>
    <x:mergeCell ref="A2:J2"/>
    <x:mergeCell ref="A24:J24"/>
    <x:mergeCell ref="A25:J25"/>
    <x:mergeCell ref="A26:J26"/>
    <x:mergeCell ref="A27:J27"/>
    <x:mergeCell ref="A28:J28"/>
    <x:mergeCell ref="A29:J29"/>
    <x:mergeCell ref="A30:J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8" hidden="0" customWidth="1"/>
    <x:col min="5" max="5" width="46" hidden="0" customWidth="1"/>
    <x:col min="6" max="6" width="58" hidden="0" customWidth="1"/>
    <x:col min="7" max="7" width="58" hidden="0" customWidth="1"/>
    <x:col min="8" max="8" width="10" hidden="0" customWidth="1"/>
    <x:col min="9" max="9" width="22" hidden="0" customWidth="1"/>
    <x:col min="10" max="10" width="14" hidden="0" customWidth="1"/>
    <x:col min="11" max="11" width="24" hidden="0" customWidth="1"/>
    <x:col min="12" max="12" width="14" hidden="0" customWidth="1"/>
  </x:cols>
  <x:sheetData>
    <x:row r="1" ht="34" customHeight="1">
      <x:c r="A1" s="54" t="str">
        <x:v>用例ID</x:v>
      </x:c>
      <x:c r="B1" s="54" t="str">
        <x:v>一级模块</x:v>
      </x:c>
      <x:c r="C1" s="54" t="str">
        <x:v>二级模块</x:v>
      </x:c>
      <x:c r="D1" s="54" t="str">
        <x:v>测试点</x:v>
      </x:c>
      <x:c r="E1" s="54" t="str">
        <x:v>前置条件/测试数据</x:v>
      </x:c>
      <x:c r="F1" s="54" t="str">
        <x:v>测试步骤</x:v>
      </x:c>
      <x:c r="G1" s="54" t="str">
        <x:v>预期结果</x:v>
      </x:c>
      <x:c r="H1" s="54" t="str">
        <x:v>优先级</x:v>
      </x:c>
      <x:c r="I1" s="54" t="str">
        <x:v>建议回归层级</x:v>
      </x:c>
      <x:c r="J1" s="54" t="str">
        <x:v>自动化建议</x:v>
      </x:c>
      <x:c r="K1" s="54" t="str">
        <x:v>备注/关联</x:v>
      </x:c>
      <x:c r="L1" s="54" t="str">
        <x:v>测试状态</x:v>
      </x:c>
    </x:row>
    <x:row r="2" ht="54" customHeight="1">
      <x:c r="A2" s="57" t="str">
        <x:v>GJ-001</x:v>
      </x:c>
      <x:c r="B2" s="57" t="str">
        <x:v>功能</x:v>
      </x:c>
      <x:c r="C2" s="57" t="str">
        <x:v>DDL</x:v>
      </x:c>
      <x:c r="D2" s="56" t="str">
        <x:v>独立创建单列 gojieba 全文索引</x:v>
      </x:c>
      <x:c r="E2" s="56" t="str">
        <x:v>开启 FullText；表含 bigint 主键和 varchar/text 列</x:v>
      </x:c>
      <x:c r="F2" s="56" t="str">
        <x:v>执行 CREATE FULLTEXT INDEX ... WITH PARSER gojieba；执行 SHOW CREATE TABLE、DESC</x:v>
      </x:c>
      <x:c r="G2" s="56" t="str">
        <x:v>创建成功；SHOW CREATE TABLE 保留 WITH PARSER gojieba；隐藏索引表创建成功</x:v>
      </x:c>
      <x:c r="H2" s="57" t="str">
        <x:v>P0</x:v>
      </x:c>
      <x:c r="I2" s="57" t="str">
        <x:v>BVT</x:v>
      </x:c>
      <x:c r="J2" s="57" t="str">
        <x:v>自动化</x:v>
      </x:c>
      <x:c r="K2" s="57" t="str">
        <x:v>#24271/#24297</x:v>
      </x:c>
      <x:c r="L2" s="57" t="str">
        <x:v>未执行</x:v>
      </x:c>
    </x:row>
    <x:row r="3" ht="54" customHeight="1">
      <x:c r="A3" s="57" t="str">
        <x:v>GJ-002</x:v>
      </x:c>
      <x:c r="B3" s="57" t="str">
        <x:v>功能</x:v>
      </x:c>
      <x:c r="C3" s="57" t="str">
        <x:v>DDL</x:v>
      </x:c>
      <x:c r="D3" s="56" t="str">
        <x:v>建表时定义 gojieba 全文索引</x:v>
      </x:c>
      <x:c r="E3" s="56" t="str">
        <x:v>准备包含主键和 text 列的建表语句</x:v>
      </x:c>
      <x:c r="F3" s="56" t="str">
        <x:v>在 CREATE TABLE 中使用 FULLTEXT(body) WITH PARSER gojieba；插入数据并查询</x:v>
      </x:c>
      <x:c r="G3" s="56" t="str">
        <x:v>表和索引创建成功；插入数据可被 MATCH 检索</x:v>
      </x:c>
      <x:c r="H3" s="57" t="str">
        <x:v>P0</x:v>
      </x:c>
      <x:c r="I3" s="57" t="str">
        <x:v>BVT</x:v>
      </x:c>
      <x:c r="J3" s="57" t="str">
        <x:v>自动化</x:v>
      </x:c>
      <x:c r="K3" s="57" t="str"/>
      <x:c r="L3" s="57" t="str">
        <x:v>未执行</x:v>
      </x:c>
    </x:row>
    <x:row r="4" ht="54" customHeight="1">
      <x:c r="A4" s="57" t="str">
        <x:v>GJ-003</x:v>
      </x:c>
      <x:c r="B4" s="57" t="str">
        <x:v>功能</x:v>
      </x:c>
      <x:c r="C4" s="57" t="str">
        <x:v>DDL</x:v>
      </x:c>
      <x:c r="D4" s="56" t="str">
        <x:v>ALTER TABLE 增加 gojieba 全文索引</x:v>
      </x:c>
      <x:c r="E4" s="56" t="str">
        <x:v>已存在有数据的表且尚无 FullText 索引</x:v>
      </x:c>
      <x:c r="F4" s="56" t="str">
        <x:v>ALTER TABLE ... ADD FULLTEXT INDEX ... WITH PARSER gojieba；查询历史数据</x:v>
      </x:c>
      <x:c r="G4" s="56" t="str">
        <x:v>索引创建成功；存量数据完成分词并可检索</x:v>
      </x:c>
      <x:c r="H4" s="57" t="str">
        <x:v>P0</x:v>
      </x:c>
      <x:c r="I4" s="57" t="str">
        <x:v>BVT</x:v>
      </x:c>
      <x:c r="J4" s="57" t="str">
        <x:v>自动化</x:v>
      </x:c>
      <x:c r="K4" s="57" t="str"/>
      <x:c r="L4" s="57" t="str">
        <x:v>未执行</x:v>
      </x:c>
    </x:row>
    <x:row r="5" ht="54" customHeight="1">
      <x:c r="A5" s="57" t="str">
        <x:v>GJ-004</x:v>
      </x:c>
      <x:c r="B5" s="57" t="str">
        <x:v>功能</x:v>
      </x:c>
      <x:c r="C5" s="57" t="str">
        <x:v>DDL</x:v>
      </x:c>
      <x:c r="D5" s="56" t="str">
        <x:v>删除 gojieba 全文索引</x:v>
      </x:c>
      <x:c r="E5" s="56" t="str">
        <x:v>表上已存在 gojieba 全文索引</x:v>
      </x:c>
      <x:c r="F5" s="56" t="str">
        <x:v>DROP INDEX；检查 SHOW CREATE TABLE、索引元数据和隐藏表</x:v>
      </x:c>
      <x:c r="G5" s="56" t="str">
        <x:v>索引定义和隐藏表均删除；源表数据不受影响</x:v>
      </x:c>
      <x:c r="H5" s="57" t="str">
        <x:v>P0</x:v>
      </x:c>
      <x:c r="I5" s="57" t="str">
        <x:v>BVT</x:v>
      </x:c>
      <x:c r="J5" s="57" t="str">
        <x:v>自动化</x:v>
      </x:c>
      <x:c r="K5" s="57" t="str"/>
      <x:c r="L5" s="57" t="str">
        <x:v>未执行</x:v>
      </x:c>
    </x:row>
    <x:row r="6" ht="54" customHeight="1">
      <x:c r="A6" s="57" t="str">
        <x:v>GJ-005</x:v>
      </x:c>
      <x:c r="B6" s="57" t="str">
        <x:v>功能</x:v>
      </x:c>
      <x:c r="C6" s="57" t="str">
        <x:v>DDL</x:v>
      </x:c>
      <x:c r="D6" s="56" t="str">
        <x:v>多列 gojieba 全文索引</x:v>
      </x:c>
      <x:c r="E6" s="56" t="str">
        <x:v>表含主键、title 和 body 两个文本列</x:v>
      </x:c>
      <x:c r="F6" s="56" t="str">
        <x:v>创建 FULLTEXT(title,body) WITH PARSER gojieba；分别写入两列关键词并查询</x:v>
      </x:c>
      <x:c r="G6" s="56" t="str">
        <x:v>两列内容均进入同一索引；MATCH 列集合与索引定义一致时正确命中</x:v>
      </x:c>
      <x:c r="H6" s="57" t="str">
        <x:v>P0</x:v>
      </x:c>
      <x:c r="I6" s="57" t="str">
        <x:v>BVT</x:v>
      </x:c>
      <x:c r="J6" s="57" t="str">
        <x:v>自动化</x:v>
      </x:c>
      <x:c r="K6" s="57" t="str"/>
      <x:c r="L6" s="57" t="str">
        <x:v>未执行</x:v>
      </x:c>
    </x:row>
    <x:row r="7" ht="54" customHeight="1">
      <x:c r="A7" s="57" t="str">
        <x:v>GJ-006</x:v>
      </x:c>
      <x:c r="B7" s="57" t="str">
        <x:v>功能</x:v>
      </x:c>
      <x:c r="C7" s="57" t="str">
        <x:v>DDL</x:v>
      </x:c>
      <x:c r="D7" s="56" t="str">
        <x:v>CHAR/VARCHAR/TEXT 类型覆盖</x:v>
      </x:c>
      <x:c r="E7" s="56" t="str">
        <x:v>分别准备 char、varchar、text 列</x:v>
      </x:c>
      <x:c r="F7" s="56" t="str">
        <x:v>逐类创建 gojieba 全文索引并执行中文、英文检索</x:v>
      </x:c>
      <x:c r="G7" s="56" t="str">
        <x:v>三种类型均可创建索引并正确返回结果</x:v>
      </x:c>
      <x:c r="H7" s="57" t="str">
        <x:v>P1</x:v>
      </x:c>
      <x:c r="I7" s="57" t="str">
        <x:v>BVT</x:v>
      </x:c>
      <x:c r="J7" s="57" t="str">
        <x:v>自动化</x:v>
      </x:c>
      <x:c r="K7" s="57" t="str"/>
      <x:c r="L7" s="57" t="str">
        <x:v>未执行</x:v>
      </x:c>
    </x:row>
    <x:row r="8" ht="54" customHeight="1">
      <x:c r="A8" s="57" t="str">
        <x:v>GJ-007</x:v>
      </x:c>
      <x:c r="B8" s="57" t="str">
        <x:v>功能</x:v>
      </x:c>
      <x:c r="C8" s="57" t="str">
        <x:v>DDL</x:v>
      </x:c>
      <x:c r="D8" s="56" t="str">
        <x:v>JSON 列使用 gojieba parser</x:v>
      </x:c>
      <x:c r="E8" s="56" t="str">
        <x:v>JSON 中包含中文 key/value、英文和数字</x:v>
      </x:c>
      <x:c r="F8" s="56" t="str">
        <x:v>对 JSON 列创建 WITH PARSER gojieba；查询中文和英文 token</x:v>
      </x:c>
      <x:c r="G8" s="56" t="str">
        <x:v>DDL 被接受；按 gojieba 文本路径产生可重复的 token；结果与 fulltext_index_tokenize 输出一致</x:v>
      </x:c>
      <x:c r="H8" s="57" t="str">
        <x:v>P1</x:v>
      </x:c>
      <x:c r="I8" s="57" t="str">
        <x:v>Nightly</x:v>
      </x:c>
      <x:c r="J8" s="57" t="str">
        <x:v>自动化</x:v>
      </x:c>
      <x:c r="K8" s="57" t="str"/>
      <x:c r="L8" s="57" t="str">
        <x:v>未执行</x:v>
      </x:c>
    </x:row>
    <x:row r="9" ht="54" customHeight="1">
      <x:c r="A9" s="57" t="str">
        <x:v>GJ-008</x:v>
      </x:c>
      <x:c r="B9" s="57" t="str">
        <x:v>功能</x:v>
      </x:c>
      <x:c r="C9" s="57" t="str">
        <x:v>DDL</x:v>
      </x:c>
      <x:c r="D9" s="56" t="str">
        <x:v>DATALINK 列使用 gojieba parser</x:v>
      </x:c>
      <x:c r="E9" s="56" t="str">
        <x:v>准备本地、S3、stage 的中文 txt/docx/pdf 可解析文件</x:v>
      </x:c>
      <x:c r="F9" s="56" t="str">
        <x:v>分别创建 DATALINK FullText 索引；检索文件中的中文词</x:v>
      </x:c>
      <x:c r="G9" s="56" t="str">
        <x:v>提取纯文本后使用 gojieba 分词；三种存储位置检索结果一致</x:v>
      </x:c>
      <x:c r="H9" s="57" t="str">
        <x:v>P1</x:v>
      </x:c>
      <x:c r="I9" s="57" t="str">
        <x:v>Nightly</x:v>
      </x:c>
      <x:c r="J9" s="57" t="str">
        <x:v>半自动</x:v>
      </x:c>
      <x:c r="K9" s="57" t="str"/>
      <x:c r="L9" s="57" t="str">
        <x:v>未执行</x:v>
      </x:c>
    </x:row>
    <x:row r="10" ht="54" customHeight="1">
      <x:c r="A10" s="57" t="str">
        <x:v>GJ-009</x:v>
      </x:c>
      <x:c r="B10" s="57" t="str">
        <x:v>功能</x:v>
      </x:c>
      <x:c r="C10" s="57" t="str">
        <x:v>DDL</x:v>
      </x:c>
      <x:c r="D10" s="56" t="str">
        <x:v>缺少真实主键时创建索引</x:v>
      </x:c>
      <x:c r="E10" s="56" t="str">
        <x:v>准备无主键或仅 fake primary key 的表</x:v>
      </x:c>
      <x:c r="F10" s="56" t="str">
        <x:v>执行 CREATE FULLTEXT INDEX ... WITH PARSER gojieba</x:v>
      </x:c>
      <x:c r="G10" s="56" t="str">
        <x:v>创建失败，返回 primary key cannot be empty 类错误；不遗留隐藏表</x:v>
      </x:c>
      <x:c r="H10" s="57" t="str">
        <x:v>P0</x:v>
      </x:c>
      <x:c r="I10" s="57" t="str">
        <x:v>BVT</x:v>
      </x:c>
      <x:c r="J10" s="57" t="str">
        <x:v>自动化</x:v>
      </x:c>
      <x:c r="K10" s="57" t="str"/>
      <x:c r="L10" s="57" t="str">
        <x:v>未执行</x:v>
      </x:c>
    </x:row>
    <x:row r="11" ht="54" customHeight="1">
      <x:c r="A11" s="57" t="str">
        <x:v>GJ-010</x:v>
      </x:c>
      <x:c r="B11" s="57" t="str">
        <x:v>功能</x:v>
      </x:c>
      <x:c r="C11" s="57" t="str">
        <x:v>DDL</x:v>
      </x:c>
      <x:c r="D11" s="56" t="str">
        <x:v>非法 parser 和 parser 大小写</x:v>
      </x:c>
      <x:c r="E11" s="56" t="str">
        <x:v>准备合法 FullText 表</x:v>
      </x:c>
      <x:c r="F11" s="56" t="str">
        <x:v>分别使用 GOJIEBA、GoJieBa 和不存在的 parser 名称创建索引</x:v>
      </x:c>
      <x:c r="G11" s="56" t="str">
        <x:v>合法大小写被规范化为 gojieba；非法 parser 明确报错且不创建索引</x:v>
      </x:c>
      <x:c r="H11" s="57" t="str">
        <x:v>P1</x:v>
      </x:c>
      <x:c r="I11" s="57" t="str">
        <x:v>BVT</x:v>
      </x:c>
      <x:c r="J11" s="57" t="str">
        <x:v>自动化</x:v>
      </x:c>
      <x:c r="K11" s="57" t="str"/>
      <x:c r="L11" s="57" t="str">
        <x:v>未执行</x:v>
      </x:c>
    </x:row>
    <x:row r="12" ht="54" customHeight="1">
      <x:c r="A12" s="57" t="str">
        <x:v>GJ-011</x:v>
      </x:c>
      <x:c r="B12" s="57" t="str">
        <x:v>功能</x:v>
      </x:c>
      <x:c r="C12" s="57" t="str">
        <x:v>DDL</x:v>
      </x:c>
      <x:c r="D12" s="56" t="str">
        <x:v>同列重复全文索引</x:v>
      </x:c>
      <x:c r="E12" s="56" t="str">
        <x:v>同一列已存在 gojieba 全文索引</x:v>
      </x:c>
      <x:c r="F12" s="56" t="str">
        <x:v>再次对相同列集合创建 gojieba 或 ngram 全文索引</x:v>
      </x:c>
      <x:c r="G12" s="56" t="str">
        <x:v>拒绝相同列集合的重复 FullText 索引；原索引保持可用</x:v>
      </x:c>
      <x:c r="H12" s="57" t="str">
        <x:v>P1</x:v>
      </x:c>
      <x:c r="I12" s="57" t="str">
        <x:v>BVT</x:v>
      </x:c>
      <x:c r="J12" s="57" t="str">
        <x:v>自动化</x:v>
      </x:c>
      <x:c r="K12" s="57" t="str"/>
      <x:c r="L12" s="57" t="str">
        <x:v>未执行</x:v>
      </x:c>
    </x:row>
    <x:row r="13" ht="54" customHeight="1">
      <x:c r="A13" s="57" t="str">
        <x:v>GJ-012</x:v>
      </x:c>
      <x:c r="B13" s="57" t="str">
        <x:v>功能</x:v>
      </x:c>
      <x:c r="C13" s="57" t="str">
        <x:v>DDL</x:v>
      </x:c>
      <x:c r="D13" s="56" t="str">
        <x:v>同步与 ASYNC gojieba 索引</x:v>
      </x:c>
      <x:c r="E13" s="56" t="str">
        <x:v>环境支持异步 FullText/CDC</x:v>
      </x:c>
      <x:c r="F13" s="56" t="str">
        <x:v>分别创建同步和 ASYNC gojieba 索引；插入同一数据并轮询结果</x:v>
      </x:c>
      <x:c r="G13" s="56" t="str">
        <x:v>同步索引事务内可用；异步索引在约定时间内最终可见且 token 一致</x:v>
      </x:c>
      <x:c r="H13" s="57" t="str">
        <x:v>P0</x:v>
      </x:c>
      <x:c r="I13" s="57" t="str">
        <x:v>Nightly</x:v>
      </x:c>
      <x:c r="J13" s="57" t="str">
        <x:v>自动化</x:v>
      </x:c>
      <x:c r="K13" s="57" t="str"/>
      <x:c r="L13" s="57" t="str">
        <x:v>未执行</x:v>
      </x:c>
    </x:row>
    <x:row r="14" ht="54" customHeight="1">
      <x:c r="A14" s="57" t="str">
        <x:v>GJ-013</x:v>
      </x:c>
      <x:c r="B14" s="57" t="str">
        <x:v>分词正确性</x:v>
      </x:c>
      <x:c r="C14" s="57" t="str">
        <x:v>中文词典</x:v>
      </x:c>
      <x:c r="D14" s="56" t="str">
        <x:v>标准中文句子精确分词</x:v>
      </x:c>
      <x:c r="E14" s="56" t="str">
        <x:v>输入：我来到北京清华大学</x:v>
      </x:c>
      <x:c r="F14" s="56" t="str">
        <x:v>调用 fulltext_index_tokenize({parser:gojieba}) 并按 pos 排序</x:v>
      </x:c>
      <x:c r="G14" s="56" t="str">
        <x:v>token 依次为 我、来到、北京、清华大学，另有 __DocLen；无 ngram 重叠片段</x:v>
      </x:c>
      <x:c r="H14" s="57" t="str">
        <x:v>P0</x:v>
      </x:c>
      <x:c r="I14" s="57" t="str">
        <x:v>BVT</x:v>
      </x:c>
      <x:c r="J14" s="57" t="str">
        <x:v>自动化</x:v>
      </x:c>
      <x:c r="K14" s="57" t="str"/>
      <x:c r="L14" s="57" t="str">
        <x:v>未执行</x:v>
      </x:c>
    </x:row>
    <x:row r="15" ht="54" customHeight="1">
      <x:c r="A15" s="57" t="str">
        <x:v>GJ-014</x:v>
      </x:c>
      <x:c r="B15" s="57" t="str">
        <x:v>分词正确性</x:v>
      </x:c>
      <x:c r="C15" s="57" t="str">
        <x:v>中文词典</x:v>
      </x:c>
      <x:c r="D15" s="56" t="str">
        <x:v>索引侧与查询侧均关闭 HMM</x:v>
      </x:c>
      <x:c r="E15" s="56" t="str">
        <x:v>准备词典已知词和 HMM 才可能合并的新词</x:v>
      </x:c>
      <x:c r="F15" s="56" t="str">
        <x:v>比较 fulltext_index_tokenize 输出与 MATCH 查询解析结果</x:v>
      </x:c>
      <x:c r="G15" s="56" t="str">
        <x:v>索引和查询均按 dictionary-only 规则切分；不存在仅查询侧生成的新词</x:v>
      </x:c>
      <x:c r="H15" s="57" t="str">
        <x:v>P0</x:v>
      </x:c>
      <x:c r="I15" s="57" t="str">
        <x:v>BVT</x:v>
      </x:c>
      <x:c r="J15" s="57" t="str">
        <x:v>自动化</x:v>
      </x:c>
      <x:c r="K15" s="57" t="str"/>
      <x:c r="L15" s="57" t="str">
        <x:v>未执行</x:v>
      </x:c>
    </x:row>
    <x:row r="16" ht="54" customHeight="1">
      <x:c r="A16" s="57" t="str">
        <x:v>GJ-015</x:v>
      </x:c>
      <x:c r="B16" s="57" t="str">
        <x:v>分词正确性</x:v>
      </x:c>
      <x:c r="C16" s="57" t="str">
        <x:v>UTF-8 位置</x:v>
      </x:c>
      <x:c r="D16" s="56" t="str">
        <x:v>中文 token BytePos</x:v>
      </x:c>
      <x:c r="E16" s="56" t="str">
        <x:v>输入：我来到北京</x:v>
      </x:c>
      <x:c r="F16" s="56" t="str">
        <x:v>读取每个 token 的 pos；执行无空格中文 phrase 查询</x:v>
      </x:c>
      <x:c r="G16" s="56" t="str">
        <x:v>我、来到、北京位置分别为 0、3、9；phrase 使用相同位置差正确匹配</x:v>
      </x:c>
      <x:c r="H16" s="57" t="str">
        <x:v>P0</x:v>
      </x:c>
      <x:c r="I16" s="57" t="str">
        <x:v>BVT</x:v>
      </x:c>
      <x:c r="J16" s="57" t="str">
        <x:v>自动化</x:v>
      </x:c>
      <x:c r="K16" s="57" t="str"/>
      <x:c r="L16" s="57" t="str">
        <x:v>未执行</x:v>
      </x:c>
    </x:row>
    <x:row r="17" ht="54" customHeight="1">
      <x:c r="A17" s="57" t="str">
        <x:v>GJ-016</x:v>
      </x:c>
      <x:c r="B17" s="57" t="str">
        <x:v>分词正确性</x:v>
      </x:c>
      <x:c r="C17" s="57" t="str">
        <x:v>ASCII</x:v>
      </x:c>
      <x:c r="D17" s="56" t="str">
        <x:v>英文单词与大小写归一</x:v>
      </x:c>
      <x:c r="E17" s="56" t="str">
        <x:v>输入：Hello, WORLD!</x:v>
      </x:c>
      <x:c r="F17" s="56" t="str">
        <x:v>调用 tokenizer 和 FullText 查询</x:v>
      </x:c>
      <x:c r="G17" s="56" t="str">
        <x:v>ASCII 段按 SimpleTokenizer 处理；token 为 hello、world；查询大小写不影响命中</x:v>
      </x:c>
      <x:c r="H17" s="57" t="str">
        <x:v>P1</x:v>
      </x:c>
      <x:c r="I17" s="57" t="str">
        <x:v>BVT</x:v>
      </x:c>
      <x:c r="J17" s="57" t="str">
        <x:v>自动化</x:v>
      </x:c>
      <x:c r="K17" s="57" t="str"/>
      <x:c r="L17" s="57" t="str">
        <x:v>未执行</x:v>
      </x:c>
    </x:row>
    <x:row r="18" ht="54" customHeight="1">
      <x:c r="A18" s="57" t="str">
        <x:v>GJ-017</x:v>
      </x:c>
      <x:c r="B18" s="57" t="str">
        <x:v>分词正确性</x:v>
      </x:c>
      <x:c r="C18" s="57" t="str">
        <x:v>混合文本</x:v>
      </x:c>
      <x:c r="D18" s="56" t="str">
        <x:v>中文、英文、数字和型号混排</x:v>
      </x:c>
      <x:c r="E18" s="56" t="str">
        <x:v>输入：SGB11型号支持AI 2026版</x:v>
      </x:c>
      <x:c r="F18" s="56" t="str">
        <x:v>检查 token、位置并分别搜索型号、中文词和 AI</x:v>
      </x:c>
      <x:c r="G18" s="56" t="str">
        <x:v>ASCII token 保持完整并转小写；中文按词典分词；位置均落在正确 UTF-8 边界</x:v>
      </x:c>
      <x:c r="H18" s="57" t="str">
        <x:v>P0</x:v>
      </x:c>
      <x:c r="I18" s="57" t="str">
        <x:v>BVT</x:v>
      </x:c>
      <x:c r="J18" s="57" t="str">
        <x:v>自动化</x:v>
      </x:c>
      <x:c r="K18" s="57" t="str"/>
      <x:c r="L18" s="57" t="str">
        <x:v>未执行</x:v>
      </x:c>
    </x:row>
    <x:row r="19" ht="54" customHeight="1">
      <x:c r="A19" s="57" t="str">
        <x:v>GJ-018</x:v>
      </x:c>
      <x:c r="B19" s="57" t="str">
        <x:v>分词正确性</x:v>
      </x:c>
      <x:c r="C19" s="57" t="str">
        <x:v>标点</x:v>
      </x:c>
      <x:c r="D19" s="56" t="str">
        <x:v>中英文标点和多空格</x:v>
      </x:c>
      <x:c r="E19" s="56" t="str">
        <x:v>输入含 ，。！？、,.!?、制表符、换行和连续空格</x:v>
      </x:c>
      <x:c r="F19" s="56" t="str">
        <x:v>直接分词并建索引查询</x:v>
      </x:c>
      <x:c r="G19" s="56" t="str">
        <x:v>分隔符不形成可搜索 token；前后有效词正确保留；无空 token</x:v>
      </x:c>
      <x:c r="H19" s="57" t="str">
        <x:v>P1</x:v>
      </x:c>
      <x:c r="I19" s="57" t="str">
        <x:v>BVT</x:v>
      </x:c>
      <x:c r="J19" s="57" t="str">
        <x:v>自动化</x:v>
      </x:c>
      <x:c r="K19" s="57" t="str"/>
      <x:c r="L19" s="57" t="str">
        <x:v>未执行</x:v>
      </x:c>
    </x:row>
    <x:row r="20" ht="54" customHeight="1">
      <x:c r="A20" s="57" t="str">
        <x:v>GJ-019</x:v>
      </x:c>
      <x:c r="B20" s="57" t="str">
        <x:v>分词正确性</x:v>
      </x:c>
      <x:c r="C20" s="57" t="str">
        <x:v>空值</x:v>
      </x:c>
      <x:c r="D20" s="56" t="str">
        <x:v>NULL、空串、仅空白和仅标点</x:v>
      </x:c>
      <x:c r="E20" s="56" t="str">
        <x:v>分别插入 NULL、''、空白串和标点串</x:v>
      </x:c>
      <x:c r="F20" s="56" t="str">
        <x:v>构建索引并查询；检查 fulltext_index_tokenize 行数</x:v>
      </x:c>
      <x:c r="G20" s="56" t="str">
        <x:v>不产生普通词条、不 panic；文档长度标记行为稳定；其他文档结果不受污染</x:v>
      </x:c>
      <x:c r="H20" s="57" t="str">
        <x:v>P0</x:v>
      </x:c>
      <x:c r="I20" s="57" t="str">
        <x:v>BVT</x:v>
      </x:c>
      <x:c r="J20" s="57" t="str">
        <x:v>自动化</x:v>
      </x:c>
      <x:c r="K20" s="57" t="str"/>
      <x:c r="L20" s="57" t="str">
        <x:v>未执行</x:v>
      </x:c>
    </x:row>
    <x:row r="21" ht="54" customHeight="1">
      <x:c r="A21" s="57" t="str">
        <x:v>GJ-020</x:v>
      </x:c>
      <x:c r="B21" s="57" t="str">
        <x:v>分词正确性</x:v>
      </x:c>
      <x:c r="C21" s="57" t="str">
        <x:v>重复词</x:v>
      </x:c>
      <x:c r="D21" s="56" t="str">
        <x:v>同一文档重复中文词</x:v>
      </x:c>
      <x:c r="E21" s="56" t="str">
        <x:v>输入：北京北京 北京</x:v>
      </x:c>
      <x:c r="F21" s="56" t="str">
        <x:v>检查 token 位置、DocLen 和关键词得分</x:v>
      </x:c>
      <x:c r="G21" s="56" t="str">
        <x:v>三个北京均有独立位置；DocLen 与 token 数一致；词频计分可重复</x:v>
      </x:c>
      <x:c r="H21" s="57" t="str">
        <x:v>P1</x:v>
      </x:c>
      <x:c r="I21" s="57" t="str">
        <x:v>BVT</x:v>
      </x:c>
      <x:c r="J21" s="57" t="str">
        <x:v>自动化</x:v>
      </x:c>
      <x:c r="K21" s="57" t="str"/>
      <x:c r="L21" s="57" t="str">
        <x:v>未执行</x:v>
      </x:c>
    </x:row>
    <x:row r="22" ht="54" customHeight="1">
      <x:c r="A22" s="57" t="str">
        <x:v>GJ-021</x:v>
      </x:c>
      <x:c r="B22" s="57" t="str">
        <x:v>分词正确性</x:v>
      </x:c>
      <x:c r="C22" s="57" t="str">
        <x:v>长 token</x:v>
      </x:c>
      <x:c r="D22" s="56" t="str">
        <x:v>超过 MAX_TOKEN_SIZE 的 ASCII token</x:v>
      </x:c>
      <x:c r="E22" s="56" t="str">
        <x:v>准备超过 23 字节的连续英文/型号字符串</x:v>
      </x:c>
      <x:c r="F22" s="56" t="str">
        <x:v>索引并读取 token；搜索截断值和原长值</x:v>
      </x:c>
      <x:c r="G22" s="56" t="str">
        <x:v>token 最多 23 字节且不越界；索引侧与查询侧使用相同截断规则；无 panic</x:v>
      </x:c>
      <x:c r="H22" s="57" t="str">
        <x:v>P0</x:v>
      </x:c>
      <x:c r="I22" s="57" t="str">
        <x:v>BVT</x:v>
      </x:c>
      <x:c r="J22" s="57" t="str">
        <x:v>自动化</x:v>
      </x:c>
      <x:c r="K22" s="57" t="str"/>
      <x:c r="L22" s="57" t="str">
        <x:v>未执行</x:v>
      </x:c>
    </x:row>
    <x:row r="23" ht="54" customHeight="1">
      <x:c r="A23" s="57" t="str">
        <x:v>GJ-022</x:v>
      </x:c>
      <x:c r="B23" s="57" t="str">
        <x:v>分词正确性</x:v>
      </x:c>
      <x:c r="C23" s="57" t="str">
        <x:v>长 token</x:v>
      </x:c>
      <x:c r="D23" s="56" t="str">
        <x:v>长中文词 UTF-8 安全截断</x:v>
      </x:c>
      <x:c r="E23" s="56" t="str">
        <x:v>通过用户词典准备超过 23 字节的中文词</x:v>
      </x:c>
      <x:c r="F23" s="56" t="str">
        <x:v>分词并检查 token 字节和 UTF-8 合法性</x:v>
      </x:c>
      <x:c r="G23" s="56" t="str">
        <x:v>截断不切断 UTF-8 字符；索引与查询 token 一致</x:v>
      </x:c>
      <x:c r="H23" s="57" t="str">
        <x:v>P1</x:v>
      </x:c>
      <x:c r="I23" s="57" t="str">
        <x:v>Nightly</x:v>
      </x:c>
      <x:c r="J23" s="57" t="str">
        <x:v>半自动</x:v>
      </x:c>
      <x:c r="K23" s="57" t="str"/>
      <x:c r="L23" s="57" t="str">
        <x:v>未执行</x:v>
      </x:c>
    </x:row>
    <x:row r="24" ht="54" customHeight="1">
      <x:c r="A24" s="57" t="str">
        <x:v>GJ-023</x:v>
      </x:c>
      <x:c r="B24" s="57" t="str">
        <x:v>分词正确性</x:v>
      </x:c>
      <x:c r="C24" s="57" t="str">
        <x:v>多列边界</x:v>
      </x:c>
      <x:c r="D24" s="56" t="str">
        <x:v>多列内容不形成跨列中文 phrase</x:v>
      </x:c>
      <x:c r="E24" s="56" t="str">
        <x:v>title='我来到'，body='北京'；另有单列完整句对照行</x:v>
      </x:c>
      <x:c r="F24" s="56" t="str">
        <x:v>创建 (title,body) 索引；查询 phrase "我来到北京"</x:v>
      </x:c>
      <x:c r="G24" s="56" t="str">
        <x:v>跨列行不匹配完整 phrase；单列连续文本行匹配</x:v>
      </x:c>
      <x:c r="H24" s="57" t="str">
        <x:v>P0</x:v>
      </x:c>
      <x:c r="I24" s="57" t="str">
        <x:v>BVT</x:v>
      </x:c>
      <x:c r="J24" s="57" t="str">
        <x:v>自动化</x:v>
      </x:c>
      <x:c r="K24" s="57" t="str"/>
      <x:c r="L24" s="57" t="str">
        <x:v>未执行</x:v>
      </x:c>
    </x:row>
    <x:row r="25" ht="54" customHeight="1">
      <x:c r="A25" s="57" t="str">
        <x:v>GJ-024</x:v>
      </x:c>
      <x:c r="B25" s="57" t="str">
        <x:v>分词正确性</x:v>
      </x:c>
      <x:c r="C25" s="57" t="str">
        <x:v>多列边界</x:v>
      </x:c>
      <x:c r="D25" s="56" t="str">
        <x:v>多列词条均可独立命中</x:v>
      </x:c>
      <x:c r="E25" s="56" t="str">
        <x:v>title 和 body 分别包含不同中文词</x:v>
      </x:c>
      <x:c r="F25" s="56" t="str">
        <x:v>分别用 MATCH(title,body) 查询两个词</x:v>
      </x:c>
      <x:c r="G25" s="56" t="str">
        <x:v>两个词均可命中同一文档；DocLen 覆盖两列 token 总量</x:v>
      </x:c>
      <x:c r="H25" s="57" t="str">
        <x:v>P1</x:v>
      </x:c>
      <x:c r="I25" s="57" t="str">
        <x:v>BVT</x:v>
      </x:c>
      <x:c r="J25" s="57" t="str">
        <x:v>自动化</x:v>
      </x:c>
      <x:c r="K25" s="57" t="str"/>
      <x:c r="L25" s="57" t="str">
        <x:v>未执行</x:v>
      </x:c>
    </x:row>
    <x:row r="26" ht="54" customHeight="1">
      <x:c r="A26" s="57" t="str">
        <x:v>GJ-025</x:v>
      </x:c>
      <x:c r="B26" s="57" t="str">
        <x:v>分词正确性</x:v>
      </x:c>
      <x:c r="C26" s="57" t="str">
        <x:v>语言</x:v>
      </x:c>
      <x:c r="D26" s="56" t="str">
        <x:v>简体中文、繁体中文和日韩字符</x:v>
      </x:c>
      <x:c r="E26" s="56" t="str">
        <x:v>准备等义简繁体文本及日文、韩文文本</x:v>
      </x:c>
      <x:c r="F26" s="56" t="str">
        <x:v>分别建索引并查询原文 token</x:v>
      </x:c>
      <x:c r="G26" s="56" t="str">
        <x:v>原文检索稳定；不隐式进行简繁转换；记录日/韩字符的实际切分契约</x:v>
      </x:c>
      <x:c r="H26" s="57" t="str">
        <x:v>P1</x:v>
      </x:c>
      <x:c r="I26" s="57" t="str">
        <x:v>Nightly</x:v>
      </x:c>
      <x:c r="J26" s="57" t="str">
        <x:v>自动化</x:v>
      </x:c>
      <x:c r="K26" s="57" t="str"/>
      <x:c r="L26" s="57" t="str">
        <x:v>未执行</x:v>
      </x:c>
    </x:row>
    <x:row r="27" ht="54" customHeight="1">
      <x:c r="A27" s="57" t="str">
        <x:v>GJ-026</x:v>
      </x:c>
      <x:c r="B27" s="57" t="str">
        <x:v>分词正确性</x:v>
      </x:c>
      <x:c r="C27" s="57" t="str">
        <x:v>对照</x:v>
      </x:c>
      <x:c r="D27" s="56" t="str">
        <x:v>gojieba 与 ngram token 对照</x:v>
      </x:c>
      <x:c r="E27" s="56" t="str">
        <x:v>同一文本：我来到北京清华大学</x:v>
      </x:c>
      <x:c r="F27" s="56" t="str">
        <x:v>先建 ngram 索引记录 token，再 drop index 创建 gojieba 索引记录 token</x:v>
      </x:c>
      <x:c r="G27" s="56" t="str">
        <x:v>ngram 产生重叠 3 字符片段；gojieba 产生词典词；两者差异符合设计</x:v>
      </x:c>
      <x:c r="H27" s="57" t="str">
        <x:v>P0</x:v>
      </x:c>
      <x:c r="I27" s="57" t="str">
        <x:v>BVT</x:v>
      </x:c>
      <x:c r="J27" s="57" t="str">
        <x:v>自动化</x:v>
      </x:c>
      <x:c r="K27" s="57" t="str"/>
      <x:c r="L27" s="57" t="str">
        <x:v>未执行</x:v>
      </x:c>
    </x:row>
    <x:row r="28" ht="54" customHeight="1">
      <x:c r="A28" s="57" t="str">
        <x:v>GJ-027</x:v>
      </x:c>
      <x:c r="B28" s="57" t="str">
        <x:v>查询</x:v>
      </x:c>
      <x:c r="C28" s="57" t="str">
        <x:v>Natural Language</x:v>
      </x:c>
      <x:c r="D28" s="56" t="str">
        <x:v>单个中文词检索</x:v>
      </x:c>
      <x:c r="E28" s="56" t="str">
        <x:v>多文档中部分包含清华大学</x:v>
      </x:c>
      <x:c r="F28" s="56" t="str">
        <x:v>MATCH(body) AGAINST('清华大学' IN NATURAL LANGUAGE MODE)</x:v>
      </x:c>
      <x:c r="G28" s="56" t="str">
        <x:v>只返回包含 gojieba token 清华大学的文档；无 false positive</x:v>
      </x:c>
      <x:c r="H28" s="57" t="str">
        <x:v>P0</x:v>
      </x:c>
      <x:c r="I28" s="57" t="str">
        <x:v>BVT</x:v>
      </x:c>
      <x:c r="J28" s="57" t="str">
        <x:v>自动化</x:v>
      </x:c>
      <x:c r="K28" s="57" t="str"/>
      <x:c r="L28" s="57" t="str">
        <x:v>未执行</x:v>
      </x:c>
    </x:row>
    <x:row r="29" ht="54" customHeight="1">
      <x:c r="A29" s="57" t="str">
        <x:v>GJ-028</x:v>
      </x:c>
      <x:c r="B29" s="57" t="str">
        <x:v>查询</x:v>
      </x:c>
      <x:c r="C29" s="57" t="str">
        <x:v>Natural Language</x:v>
      </x:c>
      <x:c r="D29" s="56" t="str">
        <x:v>多个中文词检索和相关度</x:v>
      </x:c>
      <x:c r="E29" s="56" t="str">
        <x:v>文档分别包含 0/1/2 个查询词</x:v>
      </x:c>
      <x:c r="F29" s="56" t="str">
        <x:v>查询 北京 清华大学 并输出 score、排序</x:v>
      </x:c>
      <x:c r="G29" s="56" t="str">
        <x:v>命中文档集合符合 NL 语义；包含更多/更高频关键词的文档得分合理且稳定</x:v>
      </x:c>
      <x:c r="H29" s="57" t="str">
        <x:v>P0</x:v>
      </x:c>
      <x:c r="I29" s="57" t="str">
        <x:v>BVT</x:v>
      </x:c>
      <x:c r="J29" s="57" t="str">
        <x:v>自动化</x:v>
      </x:c>
      <x:c r="K29" s="57" t="str"/>
      <x:c r="L29" s="57" t="str">
        <x:v>未执行</x:v>
      </x:c>
    </x:row>
    <x:row r="30" ht="54" customHeight="1">
      <x:c r="A30" s="57" t="str">
        <x:v>GJ-029</x:v>
      </x:c>
      <x:c r="B30" s="57" t="str">
        <x:v>查询</x:v>
      </x:c>
      <x:c r="C30" s="57" t="str">
        <x:v>Natural Language</x:v>
      </x:c>
      <x:c r="D30" s="56" t="str">
        <x:v>词内子串与 ngram 对照</x:v>
      </x:c>
      <x:c r="E30" s="56" t="str">
        <x:v>索引词为清华大学，查询词为华大</x:v>
      </x:c>
      <x:c r="F30" s="56" t="str">
        <x:v>分别使用 ngram 和 gojieba 索引执行同一查询</x:v>
      </x:c>
      <x:c r="G30" s="56" t="str">
        <x:v>记录并确认 gojieba 不保证词内子串召回；ngram 可按前缀/片段规则命中</x:v>
      </x:c>
      <x:c r="H30" s="57" t="str">
        <x:v>P0</x:v>
      </x:c>
      <x:c r="I30" s="57" t="str">
        <x:v>Nightly</x:v>
      </x:c>
      <x:c r="J30" s="57" t="str">
        <x:v>自动化</x:v>
      </x:c>
      <x:c r="K30" s="57" t="str"/>
      <x:c r="L30" s="57" t="str">
        <x:v>未执行</x:v>
      </x:c>
    </x:row>
    <x:row r="31" ht="54" customHeight="1">
      <x:c r="A31" s="57" t="str">
        <x:v>GJ-030</x:v>
      </x:c>
      <x:c r="B31" s="57" t="str">
        <x:v>查询</x:v>
      </x:c>
      <x:c r="C31" s="57" t="str">
        <x:v>Natural Language</x:v>
      </x:c>
      <x:c r="D31" s="56" t="str">
        <x:v>未登录词查询</x:v>
      </x:c>
      <x:c r="E31" s="56" t="str">
        <x:v>准备词典中不存在的业务名称和设备型号</x:v>
      </x:c>
      <x:c r="F31" s="56" t="str">
        <x:v>索引后查询完整词、拆分词和前缀</x:v>
      </x:c>
      <x:c r="G31" s="56" t="str">
        <x:v>结果与 dictionary-only 实际切分一致；索引侧和查询侧无分词漂移</x:v>
      </x:c>
      <x:c r="H31" s="57" t="str">
        <x:v>P0</x:v>
      </x:c>
      <x:c r="I31" s="57" t="str">
        <x:v>Nightly</x:v>
      </x:c>
      <x:c r="J31" s="57" t="str">
        <x:v>自动化</x:v>
      </x:c>
      <x:c r="K31" s="57" t="str"/>
      <x:c r="L31" s="57" t="str">
        <x:v>未执行</x:v>
      </x:c>
    </x:row>
    <x:row r="32" ht="54" customHeight="1">
      <x:c r="A32" s="57" t="str">
        <x:v>GJ-031</x:v>
      </x:c>
      <x:c r="B32" s="57" t="str">
        <x:v>查询</x:v>
      </x:c>
      <x:c r="C32" s="57" t="str">
        <x:v>Natural Language</x:v>
      </x:c>
      <x:c r="D32" s="56" t="str">
        <x:v>MATCH 用于 WHERE 与投影</x:v>
      </x:c>
      <x:c r="E32" s="56" t="str">
        <x:v>已有 gojieba 索引和多条中文文档</x:v>
      </x:c>
      <x:c r="F32" s="56" t="str">
        <x:v>分别在 WHERE、SELECT 投影中使用 MATCH，并组合普通列</x:v>
      </x:c>
      <x:c r="G32" s="56" t="str">
        <x:v>结果集合一致；投影返回正确 score；不重复执行产生不同结果</x:v>
      </x:c>
      <x:c r="H32" s="57" t="str">
        <x:v>P1</x:v>
      </x:c>
      <x:c r="I32" s="57" t="str">
        <x:v>BVT</x:v>
      </x:c>
      <x:c r="J32" s="57" t="str">
        <x:v>自动化</x:v>
      </x:c>
      <x:c r="K32" s="57" t="str"/>
      <x:c r="L32" s="57" t="str">
        <x:v>未执行</x:v>
      </x:c>
    </x:row>
    <x:row r="33" ht="54" customHeight="1">
      <x:c r="A33" s="57" t="str">
        <x:v>GJ-032</x:v>
      </x:c>
      <x:c r="B33" s="57" t="str">
        <x:v>查询</x:v>
      </x:c>
      <x:c r="C33" s="57" t="str">
        <x:v>Natural Language</x:v>
      </x:c>
      <x:c r="D33" s="56" t="str">
        <x:v>普通过滤条件与 LIMIT</x:v>
      </x:c>
      <x:c r="E33" s="56" t="str">
        <x:v>数据含 category、时间和大量命中文档</x:v>
      </x:c>
      <x:c r="F33" s="56" t="str">
        <x:v>MATCH 与普通谓词、ORDER BY、LIMIT 组合</x:v>
      </x:c>
      <x:c r="G33" s="56" t="str">
        <x:v>过滤和 LIMIT 结果正确；执行计划使用 FullText 路径；无遗漏</x:v>
      </x:c>
      <x:c r="H33" s="57" t="str">
        <x:v>P0</x:v>
      </x:c>
      <x:c r="I33" s="57" t="str">
        <x:v>Nightly</x:v>
      </x:c>
      <x:c r="J33" s="57" t="str">
        <x:v>自动化</x:v>
      </x:c>
      <x:c r="K33" s="57" t="str"/>
      <x:c r="L33" s="57" t="str">
        <x:v>未执行</x:v>
      </x:c>
    </x:row>
    <x:row r="34" ht="54" customHeight="1">
      <x:c r="A34" s="57" t="str">
        <x:v>GJ-033</x:v>
      </x:c>
      <x:c r="B34" s="57" t="str">
        <x:v>查询</x:v>
      </x:c>
      <x:c r="C34" s="57" t="str">
        <x:v>Boolean</x:v>
      </x:c>
      <x:c r="D34" s="56" t="str">
        <x:v>必选词和可选词</x:v>
      </x:c>
      <x:c r="E34" s="56" t="str">
        <x:v>准备只含一个词及同时含两个词的文档</x:v>
      </x:c>
      <x:c r="F34" s="56" t="str">
        <x:v>执行 '+北京 清华大学' 和 '+北京 +清华大学'</x:v>
      </x:c>
      <x:c r="G34" s="56" t="str">
        <x:v>单加号要求北京；双加号要求两个词均存在；结果与预期集合一致</x:v>
      </x:c>
      <x:c r="H34" s="57" t="str">
        <x:v>P0</x:v>
      </x:c>
      <x:c r="I34" s="57" t="str">
        <x:v>BVT</x:v>
      </x:c>
      <x:c r="J34" s="57" t="str">
        <x:v>自动化</x:v>
      </x:c>
      <x:c r="K34" s="57" t="str"/>
      <x:c r="L34" s="57" t="str">
        <x:v>未执行</x:v>
      </x:c>
    </x:row>
    <x:row r="35" ht="54" customHeight="1">
      <x:c r="A35" s="57" t="str">
        <x:v>GJ-034</x:v>
      </x:c>
      <x:c r="B35" s="57" t="str">
        <x:v>查询</x:v>
      </x:c>
      <x:c r="C35" s="57" t="str">
        <x:v>Boolean</x:v>
      </x:c>
      <x:c r="D35" s="56" t="str">
        <x:v>排除词</x:v>
      </x:c>
      <x:c r="E35" s="56" t="str">
        <x:v>准备同时含正向词和排除词的文档</x:v>
      </x:c>
      <x:c r="F35" s="56" t="str">
        <x:v>执行 '+北京 -上海'</x:v>
      </x:c>
      <x:c r="G35" s="56" t="str">
        <x:v>只返回包含北京且不包含上海的文档</x:v>
      </x:c>
      <x:c r="H35" s="57" t="str">
        <x:v>P0</x:v>
      </x:c>
      <x:c r="I35" s="57" t="str">
        <x:v>BVT</x:v>
      </x:c>
      <x:c r="J35" s="57" t="str">
        <x:v>自动化</x:v>
      </x:c>
      <x:c r="K35" s="57" t="str"/>
      <x:c r="L35" s="57" t="str">
        <x:v>未执行</x:v>
      </x:c>
    </x:row>
    <x:row r="36" ht="54" customHeight="1">
      <x:c r="A36" s="57" t="str">
        <x:v>GJ-035</x:v>
      </x:c>
      <x:c r="B36" s="57" t="str">
        <x:v>查询</x:v>
      </x:c>
      <x:c r="C36" s="57" t="str">
        <x:v>Boolean</x:v>
      </x:c>
      <x:c r="D36" s="56" t="str">
        <x:v>降低相关度操作符</x:v>
      </x:c>
      <x:c r="E36" s="56" t="str">
        <x:v>准备包含主词以及包含/不包含降权词的文档</x:v>
      </x:c>
      <x:c r="F36" s="56" t="str">
        <x:v>执行 '+北京 ~大学' 并比较 score</x:v>
      </x:c>
      <x:c r="G36" s="56" t="str">
        <x:v>所有必须命中文档保留；包含降权词的文档排名降低</x:v>
      </x:c>
      <x:c r="H36" s="57" t="str">
        <x:v>P1</x:v>
      </x:c>
      <x:c r="I36" s="57" t="str">
        <x:v>BVT</x:v>
      </x:c>
      <x:c r="J36" s="57" t="str">
        <x:v>自动化</x:v>
      </x:c>
      <x:c r="K36" s="57" t="str"/>
      <x:c r="L36" s="57" t="str">
        <x:v>未执行</x:v>
      </x:c>
    </x:row>
    <x:row r="37" ht="54" customHeight="1">
      <x:c r="A37" s="57" t="str">
        <x:v>GJ-036</x:v>
      </x:c>
      <x:c r="B37" s="57" t="str">
        <x:v>查询</x:v>
      </x:c>
      <x:c r="C37" s="57" t="str">
        <x:v>Boolean</x:v>
      </x:c>
      <x:c r="D37" s="56" t="str">
        <x:v>权重操作符和分组</x:v>
      </x:c>
      <x:c r="E37" s="56" t="str">
        <x:v>准备覆盖 &gt;、&lt;、括号组合的数据</x:v>
      </x:c>
      <x:c r="F37" s="56" t="str">
        <x:v>执行 '+北京 +(&gt;清华 &lt;上海)'</x:v>
      </x:c>
      <x:c r="G37" s="56" t="str">
        <x:v>布尔集合正确；清华相关文档得分高于上海相关文档</x:v>
      </x:c>
      <x:c r="H37" s="57" t="str">
        <x:v>P1</x:v>
      </x:c>
      <x:c r="I37" s="57" t="str">
        <x:v>BVT</x:v>
      </x:c>
      <x:c r="J37" s="57" t="str">
        <x:v>自动化</x:v>
      </x:c>
      <x:c r="K37" s="57" t="str"/>
      <x:c r="L37" s="57" t="str">
        <x:v>未执行</x:v>
      </x:c>
    </x:row>
    <x:row r="38" ht="54" customHeight="1">
      <x:c r="A38" s="57" t="str">
        <x:v>GJ-037</x:v>
      </x:c>
      <x:c r="B38" s="57" t="str">
        <x:v>查询</x:v>
      </x:c>
      <x:c r="C38" s="57" t="str">
        <x:v>Boolean</x:v>
      </x:c>
      <x:c r="D38" s="56" t="str">
        <x:v>前缀查询</x:v>
      </x:c>
      <x:c r="E38" s="56" t="str">
        <x:v>准备词典词：清华、清华大学、清华园</x:v>
      </x:c>
      <x:c r="F38" s="56" t="str">
        <x:v>执行 '清华*' IN BOOLEAN MODE</x:v>
      </x:c>
      <x:c r="G38" s="56" t="str">
        <x:v>返回具有对应 token 前缀的文档；不误匹配无关词</x:v>
      </x:c>
      <x:c r="H38" s="57" t="str">
        <x:v>P0</x:v>
      </x:c>
      <x:c r="I38" s="57" t="str">
        <x:v>BVT</x:v>
      </x:c>
      <x:c r="J38" s="57" t="str">
        <x:v>自动化</x:v>
      </x:c>
      <x:c r="K38" s="57" t="str"/>
      <x:c r="L38" s="57" t="str">
        <x:v>未执行</x:v>
      </x:c>
    </x:row>
    <x:row r="39" ht="54" customHeight="1">
      <x:c r="A39" s="57" t="str">
        <x:v>GJ-038</x:v>
      </x:c>
      <x:c r="B39" s="57" t="str">
        <x:v>查询</x:v>
      </x:c>
      <x:c r="C39" s="57" t="str">
        <x:v>Phrase</x:v>
      </x:c>
      <x:c r="D39" s="56" t="str">
        <x:v>两词无空格中文 phrase</x:v>
      </x:c>
      <x:c r="E39" s="56" t="str">
        <x:v>文档含 我来到北京、我很快来到北京</x:v>
      </x:c>
      <x:c r="F39" s="56" t="str">
        <x:v>查询 "我来到"</x:v>
      </x:c>
      <x:c r="G39" s="56" t="str">
        <x:v>仅 token 位置连续的文档匹配；中间插词的文档不匹配</x:v>
      </x:c>
      <x:c r="H39" s="57" t="str">
        <x:v>P0</x:v>
      </x:c>
      <x:c r="I39" s="57" t="str">
        <x:v>BVT</x:v>
      </x:c>
      <x:c r="J39" s="57" t="str">
        <x:v>自动化</x:v>
      </x:c>
      <x:c r="K39" s="57" t="str"/>
      <x:c r="L39" s="57" t="str">
        <x:v>未执行</x:v>
      </x:c>
    </x:row>
    <x:row r="40" ht="54" customHeight="1">
      <x:c r="A40" s="57" t="str">
        <x:v>GJ-039</x:v>
      </x:c>
      <x:c r="B40" s="57" t="str">
        <x:v>查询</x:v>
      </x:c>
      <x:c r="C40" s="57" t="str">
        <x:v>Phrase</x:v>
      </x:c>
      <x:c r="D40" s="56" t="str">
        <x:v>三词中文 phrase</x:v>
      </x:c>
      <x:c r="E40" s="56" t="str">
        <x:v>文档含 我来到北京 和词序变化对照</x:v>
      </x:c>
      <x:c r="F40" s="56" t="str">
        <x:v>查询 "我来到北京"</x:v>
      </x:c>
      <x:c r="G40" s="56" t="str">
        <x:v>只匹配 token 顺序和 byte-position 差一致的文档</x:v>
      </x:c>
      <x:c r="H40" s="57" t="str">
        <x:v>P0</x:v>
      </x:c>
      <x:c r="I40" s="57" t="str">
        <x:v>BVT</x:v>
      </x:c>
      <x:c r="J40" s="57" t="str">
        <x:v>自动化</x:v>
      </x:c>
      <x:c r="K40" s="57" t="str"/>
      <x:c r="L40" s="57" t="str">
        <x:v>未执行</x:v>
      </x:c>
    </x:row>
    <x:row r="41" ht="54" customHeight="1">
      <x:c r="A41" s="57" t="str">
        <x:v>GJ-040</x:v>
      </x:c>
      <x:c r="B41" s="57" t="str">
        <x:v>查询</x:v>
      </x:c>
      <x:c r="C41" s="57" t="str">
        <x:v>Phrase</x:v>
      </x:c>
      <x:c r="D41" s="56" t="str">
        <x:v>单词 phrase</x:v>
      </x:c>
      <x:c r="E41" s="56" t="str">
        <x:v>多文档含清华大学</x:v>
      </x:c>
      <x:c r="F41" s="56" t="str">
        <x:v>查询 "清华大学"</x:v>
      </x:c>
      <x:c r="G41" s="56" t="str">
        <x:v>行为与单 token 精确检索一致</x:v>
      </x:c>
      <x:c r="H41" s="57" t="str">
        <x:v>P1</x:v>
      </x:c>
      <x:c r="I41" s="57" t="str">
        <x:v>BVT</x:v>
      </x:c>
      <x:c r="J41" s="57" t="str">
        <x:v>自动化</x:v>
      </x:c>
      <x:c r="K41" s="57" t="str"/>
      <x:c r="L41" s="57" t="str">
        <x:v>未执行</x:v>
      </x:c>
    </x:row>
    <x:row r="42" ht="54" customHeight="1">
      <x:c r="A42" s="57" t="str">
        <x:v>GJ-041</x:v>
      </x:c>
      <x:c r="B42" s="57" t="str">
        <x:v>查询</x:v>
      </x:c>
      <x:c r="C42" s="57" t="str">
        <x:v>Phrase</x:v>
      </x:c>
      <x:c r="D42" s="56" t="str">
        <x:v>不存在或词序错误的 phrase</x:v>
      </x:c>
      <x:c r="E42" s="56" t="str">
        <x:v>准备上海清华大学、清华大学上海等对照文本</x:v>
      </x:c>
      <x:c r="F42" s="56" t="str">
        <x:v>查询 "上海北京" 和逆序 phrase</x:v>
      </x:c>
      <x:c r="G42" s="56" t="str">
        <x:v>不返回仅包含全部词但位置不连续/顺序错误的文档</x:v>
      </x:c>
      <x:c r="H42" s="57" t="str">
        <x:v>P0</x:v>
      </x:c>
      <x:c r="I42" s="57" t="str">
        <x:v>BVT</x:v>
      </x:c>
      <x:c r="J42" s="57" t="str">
        <x:v>自动化</x:v>
      </x:c>
      <x:c r="K42" s="57" t="str"/>
      <x:c r="L42" s="57" t="str">
        <x:v>未执行</x:v>
      </x:c>
    </x:row>
    <x:row r="43" ht="54" customHeight="1">
      <x:c r="A43" s="57" t="str">
        <x:v>GJ-042</x:v>
      </x:c>
      <x:c r="B43" s="57" t="str">
        <x:v>查询</x:v>
      </x:c>
      <x:c r="C43" s="57" t="str">
        <x:v>Phrase</x:v>
      </x:c>
      <x:c r="D43" s="56" t="str">
        <x:v>英文 phrase 回归</x:v>
      </x:c>
      <x:c r="E43" s="56" t="str">
        <x:v>文档含 is not red 及 is very not red</x:v>
      </x:c>
      <x:c r="F43" s="56" t="str">
        <x:v>在 gojieba 索引上查询 "is not red"</x:v>
      </x:c>
      <x:c r="G43" s="56" t="str">
        <x:v>ASCII phrase 仍按空格和位置匹配；不受中文 parser 改动影响</x:v>
      </x:c>
      <x:c r="H43" s="57" t="str">
        <x:v>P1</x:v>
      </x:c>
      <x:c r="I43" s="57" t="str">
        <x:v>BVT</x:v>
      </x:c>
      <x:c r="J43" s="57" t="str">
        <x:v>自动化</x:v>
      </x:c>
      <x:c r="K43" s="57" t="str"/>
      <x:c r="L43" s="57" t="str">
        <x:v>未执行</x:v>
      </x:c>
    </x:row>
    <x:row r="44" ht="54" customHeight="1">
      <x:c r="A44" s="57" t="str">
        <x:v>GJ-043</x:v>
      </x:c>
      <x:c r="B44" s="57" t="str">
        <x:v>查询</x:v>
      </x:c>
      <x:c r="C44" s="57" t="str">
        <x:v>评分</x:v>
      </x:c>
      <x:c r="D44" s="56" t="str">
        <x:v>TF-IDF 中文结果与排序</x:v>
      </x:c>
      <x:c r="E44" s="56" t="str">
        <x:v>设置 ft_relevancy_algorithm=TF-IDF，准备词频/文档频率不同的数据</x:v>
      </x:c>
      <x:c r="F44" s="56" t="str">
        <x:v>执行中文单词和多词查询并记录 score</x:v>
      </x:c>
      <x:c r="G44" s="56" t="str">
        <x:v>score 非负且排序符合 TF-IDF 预期；重复执行稳定</x:v>
      </x:c>
      <x:c r="H44" s="57" t="str">
        <x:v>P0</x:v>
      </x:c>
      <x:c r="I44" s="57" t="str">
        <x:v>BVT</x:v>
      </x:c>
      <x:c r="J44" s="57" t="str">
        <x:v>自动化</x:v>
      </x:c>
      <x:c r="K44" s="57" t="str"/>
      <x:c r="L44" s="57" t="str">
        <x:v>未执行</x:v>
      </x:c>
    </x:row>
    <x:row r="45" ht="54" customHeight="1">
      <x:c r="A45" s="57" t="str">
        <x:v>GJ-044</x:v>
      </x:c>
      <x:c r="B45" s="57" t="str">
        <x:v>查询</x:v>
      </x:c>
      <x:c r="C45" s="57" t="str">
        <x:v>评分</x:v>
      </x:c>
      <x:c r="D45" s="56" t="str">
        <x:v>BM25 中文结果与排序</x:v>
      </x:c>
      <x:c r="E45" s="56" t="str">
        <x:v>设置 ft_relevancy_algorithm=BM25，准备不同文档长度和词频</x:v>
      </x:c>
      <x:c r="F45" s="56" t="str">
        <x:v>执行相同查询并记录 score</x:v>
      </x:c>
      <x:c r="G45" s="56" t="str">
        <x:v>BM25 能在 gojieba 索引上工作；短文/词频影响符合算法预期</x:v>
      </x:c>
      <x:c r="H45" s="57" t="str">
        <x:v>P0</x:v>
      </x:c>
      <x:c r="I45" s="57" t="str">
        <x:v>BVT</x:v>
      </x:c>
      <x:c r="J45" s="57" t="str">
        <x:v>自动化</x:v>
      </x:c>
      <x:c r="K45" s="57" t="str"/>
      <x:c r="L45" s="57" t="str">
        <x:v>未执行</x:v>
      </x:c>
    </x:row>
    <x:row r="46" ht="54" customHeight="1">
      <x:c r="A46" s="57" t="str">
        <x:v>GJ-045</x:v>
      </x:c>
      <x:c r="B46" s="57" t="str">
        <x:v>查询</x:v>
      </x:c>
      <x:c r="C46" s="57" t="str">
        <x:v>评分</x:v>
      </x:c>
      <x:c r="D46" s="56" t="str">
        <x:v>TF-IDF 与 BM25 切换</x:v>
      </x:c>
      <x:c r="E46" s="56" t="str">
        <x:v>同一数据和 gojieba 索引</x:v>
      </x:c>
      <x:c r="F46" s="56" t="str">
        <x:v>切换 session 变量后重复核心查询</x:v>
      </x:c>
      <x:c r="G46" s="56" t="str">
        <x:v>结果集合一致；允许排序/score 不同；无须重建索引</x:v>
      </x:c>
      <x:c r="H46" s="57" t="str">
        <x:v>P1</x:v>
      </x:c>
      <x:c r="I46" s="57" t="str">
        <x:v>Nightly</x:v>
      </x:c>
      <x:c r="J46" s="57" t="str">
        <x:v>自动化</x:v>
      </x:c>
      <x:c r="K46" s="57" t="str"/>
      <x:c r="L46" s="57" t="str">
        <x:v>未执行</x:v>
      </x:c>
    </x:row>
    <x:row r="47" ht="54" customHeight="1">
      <x:c r="A47" s="57" t="str">
        <x:v>GJ-046</x:v>
      </x:c>
      <x:c r="B47" s="57" t="str">
        <x:v>查询</x:v>
      </x:c>
      <x:c r="C47" s="57" t="str">
        <x:v>SQL 组合</x:v>
      </x:c>
      <x:c r="D47" s="56" t="str">
        <x:v>GROUP BY、HAVING 和聚合</x:v>
      </x:c>
      <x:c r="E47" s="56" t="str">
        <x:v>文档带分类列且多行命中</x:v>
      </x:c>
      <x:c r="F47" s="56" t="str">
        <x:v>MATCH 与 COUNT、GROUP BY、HAVING 组合</x:v>
      </x:c>
      <x:c r="G47" s="56" t="str">
        <x:v>分组和聚合结果正确；无重复 doc_id 或漏行</x:v>
      </x:c>
      <x:c r="H47" s="57" t="str">
        <x:v>P1</x:v>
      </x:c>
      <x:c r="I47" s="57" t="str">
        <x:v>BVT</x:v>
      </x:c>
      <x:c r="J47" s="57" t="str">
        <x:v>自动化</x:v>
      </x:c>
      <x:c r="K47" s="57" t="str"/>
      <x:c r="L47" s="57" t="str">
        <x:v>未执行</x:v>
      </x:c>
    </x:row>
    <x:row r="48" ht="54" customHeight="1">
      <x:c r="A48" s="57" t="str">
        <x:v>GJ-047</x:v>
      </x:c>
      <x:c r="B48" s="57" t="str">
        <x:v>查询</x:v>
      </x:c>
      <x:c r="C48" s="57" t="str">
        <x:v>SQL 组合</x:v>
      </x:c>
      <x:c r="D48" s="56" t="str">
        <x:v>JOIN 与派生表</x:v>
      </x:c>
      <x:c r="E48" s="56" t="str">
        <x:v>FullText 表与维表通过主键关联</x:v>
      </x:c>
      <x:c r="F48" s="56" t="str">
        <x:v>MATCH 结果与维表 JOIN，并在 derived table 外过滤</x:v>
      </x:c>
      <x:c r="G48" s="56" t="str">
        <x:v>JOIN 结果正确；FullText 条件不丢失；执行计划无异常全表放大</x:v>
      </x:c>
      <x:c r="H48" s="57" t="str">
        <x:v>P1</x:v>
      </x:c>
      <x:c r="I48" s="57" t="str">
        <x:v>Nightly</x:v>
      </x:c>
      <x:c r="J48" s="57" t="str">
        <x:v>自动化</x:v>
      </x:c>
      <x:c r="K48" s="57" t="str"/>
      <x:c r="L48" s="57" t="str">
        <x:v>未执行</x:v>
      </x:c>
    </x:row>
    <x:row r="49" ht="54" customHeight="1">
      <x:c r="A49" s="57" t="str">
        <x:v>GJ-048</x:v>
      </x:c>
      <x:c r="B49" s="57" t="str">
        <x:v>查询</x:v>
      </x:c>
      <x:c r="C49" s="57" t="str">
        <x:v>SQL 组合</x:v>
      </x:c>
      <x:c r="D49" s="56" t="str">
        <x:v>CTE 与 UNION ALL</x:v>
      </x:c>
      <x:c r="E49" s="56" t="str">
        <x:v>准备两个查询分支</x:v>
      </x:c>
      <x:c r="F49" s="56" t="str">
        <x:v>在 CTE 中使用 MATCH；两个 MATCH 分支 UNION ALL</x:v>
      </x:c>
      <x:c r="G49" s="56" t="str">
        <x:v>各分支结果正确且可重复；连接/receiver 正常释放</x:v>
      </x:c>
      <x:c r="H49" s="57" t="str">
        <x:v>P1</x:v>
      </x:c>
      <x:c r="I49" s="57" t="str">
        <x:v>Nightly</x:v>
      </x:c>
      <x:c r="J49" s="57" t="str">
        <x:v>自动化</x:v>
      </x:c>
      <x:c r="K49" s="57" t="str"/>
      <x:c r="L49" s="57" t="str">
        <x:v>未执行</x:v>
      </x:c>
    </x:row>
    <x:row r="50" ht="54" customHeight="1">
      <x:c r="A50" s="57" t="str">
        <x:v>GJ-049</x:v>
      </x:c>
      <x:c r="B50" s="57" t="str">
        <x:v>查询</x:v>
      </x:c>
      <x:c r="C50" s="57" t="str">
        <x:v>SQL 组合</x:v>
      </x:c>
      <x:c r="D50" s="56" t="str">
        <x:v>DISTINCT、ORDER BY 与 MATCH</x:v>
      </x:c>
      <x:c r="E50" s="56" t="str">
        <x:v>准备重复投影值和不同 score</x:v>
      </x:c>
      <x:c r="F50" s="56" t="str">
        <x:v>执行 DISTINCT + ORDER BY + MATCH 组合</x:v>
      </x:c>
      <x:c r="G50" s="56" t="str">
        <x:v>修复前按 #25890 标识预期失败；修复后应使用 FullText 索引且结果正确</x:v>
      </x:c>
      <x:c r="H50" s="57" t="str">
        <x:v>P1</x:v>
      </x:c>
      <x:c r="I50" s="57" t="str">
        <x:v>BVT</x:v>
      </x:c>
      <x:c r="J50" s="57" t="str">
        <x:v>Issue Skip</x:v>
      </x:c>
      <x:c r="K50" s="57" t="str">
        <x:v>#25890</x:v>
      </x:c>
      <x:c r="L50" s="57" t="str">
        <x:v>未执行</x:v>
      </x:c>
    </x:row>
    <x:row r="51" ht="54" customHeight="1">
      <x:c r="A51" s="57" t="str">
        <x:v>GJ-050</x:v>
      </x:c>
      <x:c r="B51" s="57" t="str">
        <x:v>查询</x:v>
      </x:c>
      <x:c r="C51" s="57" t="str">
        <x:v>SQL 组合</x:v>
      </x:c>
      <x:c r="D51" s="56" t="str">
        <x:v>IN 子查询中的 MATCH</x:v>
      </x:c>
      <x:c r="E51" s="56" t="str">
        <x:v>外表通过 IN 引用含 MATCH 的子查询</x:v>
      </x:c>
      <x:c r="F51" s="56" t="str">
        <x:v>执行 WHERE id IN (SELECT ... WHERE MATCH(...))</x:v>
      </x:c>
      <x:c r="G51" s="56" t="str">
        <x:v>修复前按 #25891 标识预期失败；修复后 MATCH 被重写为 fulltext_index_scan</x:v>
      </x:c>
      <x:c r="H51" s="57" t="str">
        <x:v>P1</x:v>
      </x:c>
      <x:c r="I51" s="57" t="str">
        <x:v>BVT</x:v>
      </x:c>
      <x:c r="J51" s="57" t="str">
        <x:v>Issue Skip</x:v>
      </x:c>
      <x:c r="K51" s="57" t="str">
        <x:v>#25891</x:v>
      </x:c>
      <x:c r="L51" s="57" t="str">
        <x:v>未执行</x:v>
      </x:c>
    </x:row>
    <x:row r="52" ht="54" customHeight="1">
      <x:c r="A52" s="57" t="str">
        <x:v>GJ-051</x:v>
      </x:c>
      <x:c r="B52" s="57" t="str">
        <x:v>一致性</x:v>
      </x:c>
      <x:c r="C52" s="57" t="str">
        <x:v>INSERT</x:v>
      </x:c>
      <x:c r="D52" s="56" t="str">
        <x:v>索引创建后新增中文文档</x:v>
      </x:c>
      <x:c r="E52" s="56" t="str">
        <x:v>已存在同步 gojieba 索引</x:v>
      </x:c>
      <x:c r="F52" s="56" t="str">
        <x:v>INSERT 新文档后立即查询新词</x:v>
      </x:c>
      <x:c r="G52" s="56" t="str">
        <x:v>新文档可见且 token/DocLen 正确；旧文档不受影响</x:v>
      </x:c>
      <x:c r="H52" s="57" t="str">
        <x:v>P0</x:v>
      </x:c>
      <x:c r="I52" s="57" t="str">
        <x:v>BVT</x:v>
      </x:c>
      <x:c r="J52" s="57" t="str">
        <x:v>自动化</x:v>
      </x:c>
      <x:c r="K52" s="57" t="str"/>
      <x:c r="L52" s="57" t="str">
        <x:v>未执行</x:v>
      </x:c>
    </x:row>
    <x:row r="53" ht="54" customHeight="1">
      <x:c r="A53" s="57" t="str">
        <x:v>GJ-052</x:v>
      </x:c>
      <x:c r="B53" s="57" t="str">
        <x:v>一致性</x:v>
      </x:c>
      <x:c r="C53" s="57" t="str">
        <x:v>UPDATE</x:v>
      </x:c>
      <x:c r="D53" s="56" t="str">
        <x:v>更新被索引列</x:v>
      </x:c>
      <x:c r="E53" s="56" t="str">
        <x:v>已有可命中的旧关键词</x:v>
      </x:c>
      <x:c r="F53" s="56" t="str">
        <x:v>将正文从旧词更新为新词；分别查询旧词和新词</x:v>
      </x:c>
      <x:c r="G53" s="56" t="str">
        <x:v>旧词不再命中；新词命中；无重复倒排记录</x:v>
      </x:c>
      <x:c r="H53" s="57" t="str">
        <x:v>P0</x:v>
      </x:c>
      <x:c r="I53" s="57" t="str">
        <x:v>BVT</x:v>
      </x:c>
      <x:c r="J53" s="57" t="str">
        <x:v>自动化</x:v>
      </x:c>
      <x:c r="K53" s="57" t="str"/>
      <x:c r="L53" s="57" t="str">
        <x:v>未执行</x:v>
      </x:c>
    </x:row>
    <x:row r="54" ht="54" customHeight="1">
      <x:c r="A54" s="57" t="str">
        <x:v>GJ-053</x:v>
      </x:c>
      <x:c r="B54" s="57" t="str">
        <x:v>一致性</x:v>
      </x:c>
      <x:c r="C54" s="57" t="str">
        <x:v>UPDATE</x:v>
      </x:c>
      <x:c r="D54" s="56" t="str">
        <x:v>更新非索引列</x:v>
      </x:c>
      <x:c r="E54" s="56" t="str">
        <x:v>表含未参与索引的状态列</x:v>
      </x:c>
      <x:c r="F54" s="56" t="str">
        <x:v>只更新状态列并重复 FullText 查询</x:v>
      </x:c>
      <x:c r="G54" s="56" t="str">
        <x:v>索引结果和 score 不变；不产生无意义重建或重复记录</x:v>
      </x:c>
      <x:c r="H54" s="57" t="str">
        <x:v>P1</x:v>
      </x:c>
      <x:c r="I54" s="57" t="str">
        <x:v>BVT</x:v>
      </x:c>
      <x:c r="J54" s="57" t="str">
        <x:v>自动化</x:v>
      </x:c>
      <x:c r="K54" s="57" t="str"/>
      <x:c r="L54" s="57" t="str">
        <x:v>未执行</x:v>
      </x:c>
    </x:row>
    <x:row r="55" ht="54" customHeight="1">
      <x:c r="A55" s="57" t="str">
        <x:v>GJ-054</x:v>
      </x:c>
      <x:c r="B55" s="57" t="str">
        <x:v>一致性</x:v>
      </x:c>
      <x:c r="C55" s="57" t="str">
        <x:v>UPDATE</x:v>
      </x:c>
      <x:c r="D55" s="56" t="str">
        <x:v>更新主键</x:v>
      </x:c>
      <x:c r="E55" s="56" t="str">
        <x:v>普通/联合主键表均有 gojieba 索引</x:v>
      </x:c>
      <x:c r="F55" s="56" t="str">
        <x:v>更新主键后查询关键词并检查 doc_id</x:v>
      </x:c>
      <x:c r="G55" s="56" t="str">
        <x:v>仅新主键返回；旧主键对应倒排记录清除</x:v>
      </x:c>
      <x:c r="H55" s="57" t="str">
        <x:v>P0</x:v>
      </x:c>
      <x:c r="I55" s="57" t="str">
        <x:v>Nightly</x:v>
      </x:c>
      <x:c r="J55" s="57" t="str">
        <x:v>自动化</x:v>
      </x:c>
      <x:c r="K55" s="57" t="str"/>
      <x:c r="L55" s="57" t="str">
        <x:v>未执行</x:v>
      </x:c>
    </x:row>
    <x:row r="56" ht="54" customHeight="1">
      <x:c r="A56" s="57" t="str">
        <x:v>GJ-055</x:v>
      </x:c>
      <x:c r="B56" s="57" t="str">
        <x:v>一致性</x:v>
      </x:c>
      <x:c r="C56" s="57" t="str">
        <x:v>DELETE</x:v>
      </x:c>
      <x:c r="D56" s="56" t="str">
        <x:v>删除命中文档</x:v>
      </x:c>
      <x:c r="E56" s="56" t="str">
        <x:v>多文档命中相同中文词</x:v>
      </x:c>
      <x:c r="F56" s="56" t="str">
        <x:v>DELETE 其中一行后查询并检查 count/score</x:v>
      </x:c>
      <x:c r="G56" s="56" t="str">
        <x:v>删除文档不再返回；其余文档正常；统计不包含残留记录</x:v>
      </x:c>
      <x:c r="H56" s="57" t="str">
        <x:v>P0</x:v>
      </x:c>
      <x:c r="I56" s="57" t="str">
        <x:v>BVT</x:v>
      </x:c>
      <x:c r="J56" s="57" t="str">
        <x:v>自动化</x:v>
      </x:c>
      <x:c r="K56" s="57" t="str"/>
      <x:c r="L56" s="57" t="str">
        <x:v>未执行</x:v>
      </x:c>
    </x:row>
    <x:row r="57" ht="54" customHeight="1">
      <x:c r="A57" s="57" t="str">
        <x:v>GJ-056</x:v>
      </x:c>
      <x:c r="B57" s="57" t="str">
        <x:v>一致性</x:v>
      </x:c>
      <x:c r="C57" s="57" t="str">
        <x:v>TRUNCATE</x:v>
      </x:c>
      <x:c r="D57" s="56" t="str">
        <x:v>清空并重新插入</x:v>
      </x:c>
      <x:c r="E57" s="56" t="str">
        <x:v>表含 gojieba 索引和数据</x:v>
      </x:c>
      <x:c r="F57" s="56" t="str">
        <x:v>TRUNCATE TABLE；确认空结果；重新插入并查询</x:v>
      </x:c>
      <x:c r="G57" s="56" t="str">
        <x:v>清空后无残留命中；重新插入后索引恢复工作</x:v>
      </x:c>
      <x:c r="H57" s="57" t="str">
        <x:v>P0</x:v>
      </x:c>
      <x:c r="I57" s="57" t="str">
        <x:v>BVT</x:v>
      </x:c>
      <x:c r="J57" s="57" t="str">
        <x:v>自动化</x:v>
      </x:c>
      <x:c r="K57" s="57" t="str"/>
      <x:c r="L57" s="57" t="str">
        <x:v>未执行</x:v>
      </x:c>
    </x:row>
    <x:row r="58" ht="54" customHeight="1">
      <x:c r="A58" s="57" t="str">
        <x:v>GJ-057</x:v>
      </x:c>
      <x:c r="B58" s="57" t="str">
        <x:v>一致性</x:v>
      </x:c>
      <x:c r="C58" s="57" t="str">
        <x:v>事务</x:v>
      </x:c>
      <x:c r="D58" s="56" t="str">
        <x:v>事务提交后的索引可见性</x:v>
      </x:c>
      <x:c r="E58" s="56" t="str">
        <x:v>同步 gojieba 索引；两个独立 session</x:v>
      </x:c>
      <x:c r="F58" s="56" t="str">
        <x:v>事务内 INSERT/UPDATE；提交前后分别从两个 session 查询</x:v>
      </x:c>
      <x:c r="G58" s="56" t="str">
        <x:v>遵循 MO 隔离级别；提交后源表与全文索引原子一致</x:v>
      </x:c>
      <x:c r="H58" s="57" t="str">
        <x:v>P0</x:v>
      </x:c>
      <x:c r="I58" s="57" t="str">
        <x:v>Nightly Exclusive</x:v>
      </x:c>
      <x:c r="J58" s="57" t="str">
        <x:v>自动化</x:v>
      </x:c>
      <x:c r="K58" s="57" t="str"/>
      <x:c r="L58" s="57" t="str">
        <x:v>未执行</x:v>
      </x:c>
    </x:row>
    <x:row r="59" ht="54" customHeight="1">
      <x:c r="A59" s="57" t="str">
        <x:v>GJ-058</x:v>
      </x:c>
      <x:c r="B59" s="57" t="str">
        <x:v>一致性</x:v>
      </x:c>
      <x:c r="C59" s="57" t="str">
        <x:v>事务</x:v>
      </x:c>
      <x:c r="D59" s="56" t="str">
        <x:v>事务回滚不污染索引</x:v>
      </x:c>
      <x:c r="E59" s="56" t="str">
        <x:v>同步 gojieba 索引</x:v>
      </x:c>
      <x:c r="F59" s="56" t="str">
        <x:v>事务内 INSERT/UPDATE/DELETE 后 ROLLBACK；查询新旧关键词</x:v>
      </x:c>
      <x:c r="G59" s="56" t="str">
        <x:v>回滚操作不残留倒排记录；结果恢复到事务前</x:v>
      </x:c>
      <x:c r="H59" s="57" t="str">
        <x:v>P0</x:v>
      </x:c>
      <x:c r="I59" s="57" t="str">
        <x:v>Nightly Exclusive</x:v>
      </x:c>
      <x:c r="J59" s="57" t="str">
        <x:v>自动化</x:v>
      </x:c>
      <x:c r="K59" s="57" t="str"/>
      <x:c r="L59" s="57" t="str">
        <x:v>未执行</x:v>
      </x:c>
    </x:row>
    <x:row r="60" ht="54" customHeight="1">
      <x:c r="A60" s="57" t="str">
        <x:v>GJ-059</x:v>
      </x:c>
      <x:c r="B60" s="57" t="str">
        <x:v>一致性</x:v>
      </x:c>
      <x:c r="C60" s="57" t="str">
        <x:v>事务</x:v>
      </x:c>
      <x:c r="D60" s="56" t="str">
        <x:v>建索引事务提交与回滚</x:v>
      </x:c>
      <x:c r="E60" s="56" t="str">
        <x:v>有存量中文数据</x:v>
      </x:c>
      <x:c r="F60" s="56" t="str">
        <x:v>在事务中 CREATE FULLTEXT INDEX，分别 COMMIT/ROLLBACK</x:v>
      </x:c>
      <x:c r="G60" s="56" t="str">
        <x:v>行为符合 MO DDL 事务语义；失败/回滚路径不遗留半成品隐藏表</x:v>
      </x:c>
      <x:c r="H60" s="57" t="str">
        <x:v>P1</x:v>
      </x:c>
      <x:c r="I60" s="57" t="str">
        <x:v>Nightly Exclusive</x:v>
      </x:c>
      <x:c r="J60" s="57" t="str">
        <x:v>自动化</x:v>
      </x:c>
      <x:c r="K60" s="57" t="str"/>
      <x:c r="L60" s="57" t="str">
        <x:v>未执行</x:v>
      </x:c>
    </x:row>
    <x:row r="61" ht="54" customHeight="1">
      <x:c r="A61" s="57" t="str">
        <x:v>GJ-060</x:v>
      </x:c>
      <x:c r="B61" s="57" t="str">
        <x:v>一致性</x:v>
      </x:c>
      <x:c r="C61" s="57" t="str">
        <x:v>并发</x:v>
      </x:c>
      <x:c r="D61" s="56" t="str">
        <x:v>并发 DML 与查询</x:v>
      </x:c>
      <x:c r="E61" s="56" t="str">
        <x:v>10 个写 session、20 个读 session，共享 gojieba 索引</x:v>
      </x:c>
      <x:c r="F61" s="56" t="str">
        <x:v>持续 INSERT/UPDATE/DELETE，同时执行中文 MATCH 和一致性校验</x:v>
      </x:c>
      <x:c r="G61" s="56" t="str">
        <x:v>无 panic、死锁或重复/丢失结果；收敛后索引与源表一致</x:v>
      </x:c>
      <x:c r="H61" s="57" t="str">
        <x:v>P0</x:v>
      </x:c>
      <x:c r="I61" s="57" t="str">
        <x:v>Stability</x:v>
      </x:c>
      <x:c r="J61" s="57" t="str">
        <x:v>自动化</x:v>
      </x:c>
      <x:c r="K61" s="57" t="str"/>
      <x:c r="L61" s="57" t="str">
        <x:v>未执行</x:v>
      </x:c>
    </x:row>
    <x:row r="62" ht="54" customHeight="1">
      <x:c r="A62" s="57" t="str">
        <x:v>GJ-061</x:v>
      </x:c>
      <x:c r="B62" s="57" t="str">
        <x:v>一致性</x:v>
      </x:c>
      <x:c r="C62" s="57" t="str">
        <x:v>并发</x:v>
      </x:c>
      <x:c r="D62" s="56" t="str">
        <x:v>并发创建/删除索引与查询</x:v>
      </x:c>
      <x:c r="E62" s="56" t="str">
        <x:v>准备可重复初始化的数据集</x:v>
      </x:c>
      <x:c r="F62" s="56" t="str">
        <x:v>索引创建或删除期间发起 MATCH，并重复 20 轮</x:v>
      </x:c>
      <x:c r="G62" s="56" t="str">
        <x:v>返回成功结果或明确的索引状态错误；无 CN panic、元数据残留和连接卡死</x:v>
      </x:c>
      <x:c r="H62" s="57" t="str">
        <x:v>P1</x:v>
      </x:c>
      <x:c r="I62" s="57" t="str">
        <x:v>Stability</x:v>
      </x:c>
      <x:c r="J62" s="57" t="str">
        <x:v>自动化</x:v>
      </x:c>
      <x:c r="K62" s="57" t="str"/>
      <x:c r="L62" s="57" t="str">
        <x:v>未执行</x:v>
      </x:c>
    </x:row>
    <x:row r="63" ht="54" customHeight="1">
      <x:c r="A63" s="57" t="str">
        <x:v>GJ-062</x:v>
      </x:c>
      <x:c r="B63" s="57" t="str">
        <x:v>部署</x:v>
      </x:c>
      <x:c r="C63" s="57" t="str">
        <x:v>词典</x:v>
      </x:c>
      <x:c r="D63" s="56" t="str">
        <x:v>MO_JIEBA_DICT_DIR 显式路径</x:v>
      </x:c>
      <x:c r="E63" s="56" t="str">
        <x:v>五个词典文件完整，环境变量指向该目录</x:v>
      </x:c>
      <x:c r="F63" s="56" t="str">
        <x:v>启动 mo-service；首次创建/查询 gojieba 索引</x:v>
      </x:c>
      <x:c r="G63" s="56" t="str">
        <x:v>词典从环境变量目录加载；分词结果符合该词典；无模块缓存绝对路径依赖</x:v>
      </x:c>
      <x:c r="H63" s="57" t="str">
        <x:v>P0</x:v>
      </x:c>
      <x:c r="I63" s="57" t="str">
        <x:v>Deployment</x:v>
      </x:c>
      <x:c r="J63" s="57" t="str">
        <x:v>半自动</x:v>
      </x:c>
      <x:c r="K63" s="57" t="str"/>
      <x:c r="L63" s="57" t="str">
        <x:v>未执行</x:v>
      </x:c>
    </x:row>
    <x:row r="64" ht="54" customHeight="1">
      <x:c r="A64" s="57" t="str">
        <x:v>GJ-063</x:v>
      </x:c>
      <x:c r="B64" s="57" t="str">
        <x:v>部署</x:v>
      </x:c>
      <x:c r="C64" s="57" t="str">
        <x:v>词典</x:v>
      </x:c>
      <x:c r="D64" s="56" t="str">
        <x:v>二进制同级 dict 目录</x:v>
      </x:c>
      <x:c r="E64" s="56" t="str">
        <x:v>取消环境变量；将 dict 放在 mo-service 同级</x:v>
      </x:c>
      <x:c r="F64" s="56" t="str">
        <x:v>启动服务并执行 gojieba 分词</x:v>
      </x:c>
      <x:c r="G64" s="56" t="str">
        <x:v>自动发现同级 dict；功能正常</x:v>
      </x:c>
      <x:c r="H64" s="57" t="str">
        <x:v>P1</x:v>
      </x:c>
      <x:c r="I64" s="57" t="str">
        <x:v>Deployment</x:v>
      </x:c>
      <x:c r="J64" s="57" t="str">
        <x:v>半自动</x:v>
      </x:c>
      <x:c r="K64" s="57" t="str"/>
      <x:c r="L64" s="57" t="str">
        <x:v>未执行</x:v>
      </x:c>
    </x:row>
    <x:row r="65" ht="54" customHeight="1">
      <x:c r="A65" s="57" t="str">
        <x:v>GJ-064</x:v>
      </x:c>
      <x:c r="B65" s="57" t="str">
        <x:v>部署</x:v>
      </x:c>
      <x:c r="C65" s="57" t="str">
        <x:v>词典</x:v>
      </x:c>
      <x:c r="D65" s="56" t="str">
        <x:v>容器镜像词典布局</x:v>
      </x:c>
      <x:c r="E65" s="56" t="str">
        <x:v>使用官方 CPU/GPU 镜像</x:v>
      </x:c>
      <x:c r="F65" s="56" t="str">
        <x:v>检查 /usr/local/share/jieba 和 MO_JIEBA_DICT_DIR；执行查询</x:v>
      </x:c>
      <x:c r="G65" s="56" t="str">
        <x:v>镜像包含全部词典；CPU/GPU 镜像行为一致</x:v>
      </x:c>
      <x:c r="H65" s="57" t="str">
        <x:v>P0</x:v>
      </x:c>
      <x:c r="I65" s="57" t="str">
        <x:v>Deployment</x:v>
      </x:c>
      <x:c r="J65" s="57" t="str">
        <x:v>自动化</x:v>
      </x:c>
      <x:c r="K65" s="57" t="str"/>
      <x:c r="L65" s="57" t="str">
        <x:v>未执行</x:v>
      </x:c>
    </x:row>
    <x:row r="66" ht="54" customHeight="1">
      <x:c r="A66" s="57" t="str">
        <x:v>GJ-065</x:v>
      </x:c>
      <x:c r="B66" s="57" t="str">
        <x:v>异常</x:v>
      </x:c>
      <x:c r="C66" s="57" t="str">
        <x:v>词典</x:v>
      </x:c>
      <x:c r="D66" s="56" t="str">
        <x:v>词典文件缺失</x:v>
      </x:c>
      <x:c r="E66" s="56" t="str">
        <x:v>删除或隐藏五个文件中的任意一个</x:v>
      </x:c>
      <x:c r="F66" s="56" t="str">
        <x:v>首次调用 gojieba tokenizer 或创建索引</x:v>
      </x:c>
      <x:c r="G66" s="56" t="str">
        <x:v>返回 jieba dictionary not available 类错误；不发生 cgo 路径 panic；不遗留索引</x:v>
      </x:c>
      <x:c r="H66" s="57" t="str">
        <x:v>P0</x:v>
      </x:c>
      <x:c r="I66" s="57" t="str">
        <x:v>Deployment</x:v>
      </x:c>
      <x:c r="J66" s="57" t="str">
        <x:v>半自动</x:v>
      </x:c>
      <x:c r="K66" s="57" t="str"/>
      <x:c r="L66" s="57" t="str">
        <x:v>未执行</x:v>
      </x:c>
    </x:row>
    <x:row r="67" ht="54" customHeight="1">
      <x:c r="A67" s="57" t="str">
        <x:v>GJ-066</x:v>
      </x:c>
      <x:c r="B67" s="57" t="str">
        <x:v>异常</x:v>
      </x:c>
      <x:c r="C67" s="57" t="str">
        <x:v>词典</x:v>
      </x:c>
      <x:c r="D67" s="56" t="str">
        <x:v>无效环境变量回退</x:v>
      </x:c>
      <x:c r="E67" s="56" t="str">
        <x:v>MO_JIEBA_DICT_DIR 指向不含 jieba.dict.utf8 的目录，同时存在有效同级 dict</x:v>
      </x:c>
      <x:c r="F67" s="56" t="str">
        <x:v>启动服务并分词</x:v>
      </x:c>
      <x:c r="G67" s="56" t="str">
        <x:v>忽略无效环境变量并回退到有效目录；功能正常</x:v>
      </x:c>
      <x:c r="H67" s="57" t="str">
        <x:v>P1</x:v>
      </x:c>
      <x:c r="I67" s="57" t="str">
        <x:v>Deployment</x:v>
      </x:c>
      <x:c r="J67" s="57" t="str">
        <x:v>自动化</x:v>
      </x:c>
      <x:c r="K67" s="57" t="str"/>
      <x:c r="L67" s="57" t="str">
        <x:v>未执行</x:v>
      </x:c>
    </x:row>
    <x:row r="68" ht="54" customHeight="1">
      <x:c r="A68" s="57" t="str">
        <x:v>GJ-067</x:v>
      </x:c>
      <x:c r="B68" s="57" t="str">
        <x:v>异常</x:v>
      </x:c>
      <x:c r="C68" s="57" t="str">
        <x:v>资源</x:v>
      </x:c>
      <x:c r="D68" s="56" t="str">
        <x:v>共享 tokenizer 并发初始化</x:v>
      </x:c>
      <x:c r="E68" s="56" t="str">
        <x:v>进程首次使用 gojieba，尚未加载词典</x:v>
      </x:c>
      <x:c r="F68" s="56" t="str">
        <x:v>100 并发请求同时触发 HMM=false tokenizer</x:v>
      </x:c>
      <x:c r="G68" s="56" t="str">
        <x:v>只初始化一个共享实例；全部请求成功；无 data race、重复 Free 或内存异常</x:v>
      </x:c>
      <x:c r="H68" s="57" t="str">
        <x:v>P0</x:v>
      </x:c>
      <x:c r="I68" s="57" t="str">
        <x:v>Stability</x:v>
      </x:c>
      <x:c r="J68" s="57" t="str">
        <x:v>自动化</x:v>
      </x:c>
      <x:c r="K68" s="57" t="str"/>
      <x:c r="L68" s="57" t="str">
        <x:v>未执行</x:v>
      </x:c>
    </x:row>
    <x:row r="69" ht="54" customHeight="1">
      <x:c r="A69" s="57" t="str">
        <x:v>GJ-068</x:v>
      </x:c>
      <x:c r="B69" s="57" t="str">
        <x:v>异常</x:v>
      </x:c>
      <x:c r="C69" s="57" t="str">
        <x:v>资源</x:v>
      </x:c>
      <x:c r="D69" s="56" t="str">
        <x:v>词典初始化错误缓存</x:v>
      </x:c>
      <x:c r="E69" s="56" t="str">
        <x:v>首次加载时词典缺失，随后运行期间补回文件</x:v>
      </x:c>
      <x:c r="F69" s="56" t="str">
        <x:v>连续两次获取 shared tokenizer</x:v>
      </x:c>
      <x:c r="G69" s="56" t="str">
        <x:v>同一 useHmm 模式返回缓存错误且不在进程内静默重试；重启后使用完整词典恢复</x:v>
      </x:c>
      <x:c r="H69" s="57" t="str">
        <x:v>P1</x:v>
      </x:c>
      <x:c r="I69" s="57" t="str">
        <x:v>Deployment</x:v>
      </x:c>
      <x:c r="J69" s="57" t="str">
        <x:v>半自动</x:v>
      </x:c>
      <x:c r="K69" s="57" t="str"/>
      <x:c r="L69" s="57" t="str">
        <x:v>未执行</x:v>
      </x:c>
    </x:row>
    <x:row r="70" ht="54" customHeight="1">
      <x:c r="A70" s="57" t="str">
        <x:v>GJ-069</x:v>
      </x:c>
      <x:c r="B70" s="57" t="str">
        <x:v>异常</x:v>
      </x:c>
      <x:c r="C70" s="57" t="str">
        <x:v>故障</x:v>
      </x:c>
      <x:c r="D70" s="56" t="str">
        <x:v>索引构建期间 CN/TN/LogService 故障</x:v>
      </x:c>
      <x:c r="E70" s="56" t="str">
        <x:v>大表创建同步或异步 gojieba 索引</x:v>
      </x:c>
      <x:c r="F70" s="56" t="str">
        <x:v>构建过程中分别重启 CN、TN、LogService；恢复后检查任务和元数据</x:v>
      </x:c>
      <x:c r="G70" s="56" t="str">
        <x:v>无数据错误或半成品索引；按设计重试或失败并可清理重建；无 panic</x:v>
      </x:c>
      <x:c r="H70" s="57" t="str">
        <x:v>P0</x:v>
      </x:c>
      <x:c r="I70" s="57" t="str">
        <x:v>Chaos</x:v>
      </x:c>
      <x:c r="J70" s="57" t="str">
        <x:v>半自动</x:v>
      </x:c>
      <x:c r="K70" s="57" t="str"/>
      <x:c r="L70" s="57" t="str">
        <x:v>未执行</x:v>
      </x:c>
    </x:row>
    <x:row r="71" ht="54" customHeight="1">
      <x:c r="A71" s="57" t="str">
        <x:v>GJ-070</x:v>
      </x:c>
      <x:c r="B71" s="57" t="str">
        <x:v>恢复</x:v>
      </x:c>
      <x:c r="C71" s="57" t="str">
        <x:v>Snapshot</x:v>
      </x:c>
      <x:c r="D71" s="56" t="str">
        <x:v>Snapshot restore 保留 gojieba 分词索引</x:v>
      </x:c>
      <x:c r="E71" s="56" t="str">
        <x:v>创建 gojieba 索引并写入中文 phrase 数据后创建 snapshot</x:v>
      </x:c>
      <x:c r="F71" s="56" t="str">
        <x:v>修改/删除数据，再恢复 snapshot；查询恢复前关键词和 phrase</x:v>
      </x:c>
      <x:c r="G71" s="56" t="str">
        <x:v>恢复后的源数据和 gojieba 查询结果均与 snapshot 时刻一致</x:v>
      </x:c>
      <x:c r="H71" s="57" t="str">
        <x:v>P0</x:v>
      </x:c>
      <x:c r="I71" s="57" t="str">
        <x:v>Nightly Exclusive</x:v>
      </x:c>
      <x:c r="J71" s="57" t="str">
        <x:v>自动化</x:v>
      </x:c>
      <x:c r="K71" s="57" t="str">
        <x:v>fulltext_snapshot_restore.sql</x:v>
      </x:c>
      <x:c r="L71" s="57" t="str">
        <x:v>未执行</x:v>
      </x:c>
    </x:row>
    <x:row r="72" ht="54" customHeight="1">
      <x:c r="A72" s="57" t="str">
        <x:v>GJ-071</x:v>
      </x:c>
      <x:c r="B72" s="57" t="str">
        <x:v>恢复</x:v>
      </x:c>
      <x:c r="C72" s="57" t="str">
        <x:v>备份恢复</x:v>
      </x:c>
      <x:c r="D72" s="56" t="str">
        <x:v>数据库/表级备份恢复</x:v>
      </x:c>
      <x:c r="E72" s="56" t="str">
        <x:v>数据库含同步 gojieba 索引和词典中文数据</x:v>
      </x:c>
      <x:c r="F72" s="56" t="str">
        <x:v>执行备份、删除原对象、恢复；执行核心查询</x:v>
      </x:c>
      <x:c r="G72" s="56" t="str">
        <x:v>索引定义、parser 参数、隐藏表数据和查询结果完整恢复</x:v>
      </x:c>
      <x:c r="H72" s="57" t="str">
        <x:v>P0</x:v>
      </x:c>
      <x:c r="I72" s="57" t="str">
        <x:v>Nightly Exclusive</x:v>
      </x:c>
      <x:c r="J72" s="57" t="str">
        <x:v>自动化</x:v>
      </x:c>
      <x:c r="K72" s="57" t="str"/>
      <x:c r="L72" s="57" t="str">
        <x:v>未执行</x:v>
      </x:c>
    </x:row>
    <x:row r="73" ht="54" customHeight="1">
      <x:c r="A73" s="57" t="str">
        <x:v>GJ-072</x:v>
      </x:c>
      <x:c r="B73" s="57" t="str">
        <x:v>恢复</x:v>
      </x:c>
      <x:c r="C73" s="57" t="str">
        <x:v>PITR</x:v>
      </x:c>
      <x:c r="D73" s="56" t="str">
        <x:v>PITR 到 DML 前后时间点</x:v>
      </x:c>
      <x:c r="E73" s="56" t="str">
        <x:v>gojieba 索引表执行 INSERT/UPDATE/DELETE 并记录时间点</x:v>
      </x:c>
      <x:c r="F73" s="56" t="str">
        <x:v>恢复到各时间点并执行 MATCH</x:v>
      </x:c>
      <x:c r="G73" s="56" t="str">
        <x:v>每个恢复点的源表与全文索引一致；无新旧 token 混杂</x:v>
      </x:c>
      <x:c r="H73" s="57" t="str">
        <x:v>P1</x:v>
      </x:c>
      <x:c r="I73" s="57" t="str">
        <x:v>Nightly Exclusive</x:v>
      </x:c>
      <x:c r="J73" s="57" t="str">
        <x:v>自动化</x:v>
      </x:c>
      <x:c r="K73" s="57" t="str"/>
      <x:c r="L73" s="57" t="str">
        <x:v>未执行</x:v>
      </x:c>
    </x:row>
    <x:row r="74" ht="54" customHeight="1">
      <x:c r="A74" s="57" t="str">
        <x:v>GJ-073</x:v>
      </x:c>
      <x:c r="B74" s="57" t="str">
        <x:v>恢复</x:v>
      </x:c>
      <x:c r="C74" s="57" t="str">
        <x:v>升级</x:v>
      </x:c>
      <x:c r="D74" s="56" t="str">
        <x:v>旧版本 ngram 索引升级后切换 gojieba</x:v>
      </x:c>
      <x:c r="E74" s="56" t="str">
        <x:v>旧版本创建 ngram FullText 并升级到包含 gojieba 的版本</x:v>
      </x:c>
      <x:c r="F74" s="56" t="str">
        <x:v>验证旧索引可查；drop index 后创建 gojieba；复跑同一查询</x:v>
      </x:c>
      <x:c r="G74" s="56" t="str">
        <x:v>旧索引兼容；切换 gojieba 后结果符合新分词语义；无元数据冲突</x:v>
      </x:c>
      <x:c r="H74" s="57" t="str">
        <x:v>P1</x:v>
      </x:c>
      <x:c r="I74" s="57" t="str">
        <x:v>Upgrade</x:v>
      </x:c>
      <x:c r="J74" s="57" t="str">
        <x:v>半自动</x:v>
      </x:c>
      <x:c r="K74" s="57" t="str"/>
      <x:c r="L74" s="57" t="str">
        <x:v>未执行</x:v>
      </x:c>
    </x:row>
    <x:row r="75" ht="54" customHeight="1">
      <x:c r="A75" s="57" t="str">
        <x:v>GJ-074</x:v>
      </x:c>
      <x:c r="B75" s="57" t="str">
        <x:v>性能</x:v>
      </x:c>
      <x:c r="C75" s="57" t="str">
        <x:v>索引构建</x:v>
      </x:c>
      <x:c r="D75" s="56" t="str">
        <x:v>同数据 ngram/gojieba 构建耗时对照</x:v>
      </x:c>
      <x:c r="E75" s="56" t="str">
        <x:v>固定中文语料，10 万、100 万、1000 万行</x:v>
      </x:c>
      <x:c r="F75" s="56" t="str">
        <x:v>普通索引测完后 drop index；创建 gojieba；记录各规模构建耗时</x:v>
      </x:c>
      <x:c r="G75" s="56" t="str">
        <x:v>两轮均成功且结果正确；输出耗时和增幅，不设置未经评审的硬阈值</x:v>
      </x:c>
      <x:c r="H75" s="57" t="str">
        <x:v>P0</x:v>
      </x:c>
      <x:c r="I75" s="57" t="str">
        <x:v>BigData</x:v>
      </x:c>
      <x:c r="J75" s="57" t="str">
        <x:v>自动化</x:v>
      </x:c>
      <x:c r="K75" s="57" t="str"/>
      <x:c r="L75" s="57" t="str">
        <x:v>未执行</x:v>
      </x:c>
    </x:row>
    <x:row r="76" ht="54" customHeight="1">
      <x:c r="A76" s="57" t="str">
        <x:v>GJ-075</x:v>
      </x:c>
      <x:c r="B76" s="57" t="str">
        <x:v>性能</x:v>
      </x:c>
      <x:c r="C76" s="57" t="str">
        <x:v>索引规模</x:v>
      </x:c>
      <x:c r="D76" s="56" t="str">
        <x:v>隐藏索引行数和存储量对照</x:v>
      </x:c>
      <x:c r="E76" s="56" t="str">
        <x:v>与构建耗时用例使用相同快照数据</x:v>
      </x:c>
      <x:c r="F76" s="56" t="str">
        <x:v>分别统计 ngram/gojieba token 行数、对象存储量和压缩后大小</x:v>
      </x:c>
      <x:c r="G76" s="56" t="str">
        <x:v>gojieba token 构成符合词典分词；输出行数/存储比值并可复现</x:v>
      </x:c>
      <x:c r="H76" s="57" t="str">
        <x:v>P0</x:v>
      </x:c>
      <x:c r="I76" s="57" t="str">
        <x:v>BigData</x:v>
      </x:c>
      <x:c r="J76" s="57" t="str">
        <x:v>自动化</x:v>
      </x:c>
      <x:c r="K76" s="57" t="str"/>
      <x:c r="L76" s="57" t="str">
        <x:v>未执行</x:v>
      </x:c>
    </x:row>
    <x:row r="77" ht="54" customHeight="1">
      <x:c r="A77" s="57" t="str">
        <x:v>GJ-076</x:v>
      </x:c>
      <x:c r="B77" s="57" t="str">
        <x:v>性能</x:v>
      </x:c>
      <x:c r="C77" s="57" t="str">
        <x:v>查询</x:v>
      </x:c>
      <x:c r="D77" s="56" t="str">
        <x:v>高频中文词 Top-K</x:v>
      </x:c>
      <x:c r="E77" s="56" t="str">
        <x:v>1000 万行，控制命中率 1%、10%、50%</x:v>
      </x:c>
      <x:c r="F77" s="56" t="str">
        <x:v>两种 parser 分别执行单词 Top-K，预热后各 10 轮</x:v>
      </x:c>
      <x:c r="G77" s="56" t="str">
        <x:v>结果语义按各 parser 基线正确；记录 p50/p95、扫描量、内存和 profile</x:v>
      </x:c>
      <x:c r="H77" s="57" t="str">
        <x:v>P0</x:v>
      </x:c>
      <x:c r="I77" s="57" t="str">
        <x:v>BigData</x:v>
      </x:c>
      <x:c r="J77" s="57" t="str">
        <x:v>自动化</x:v>
      </x:c>
      <x:c r="K77" s="57" t="str"/>
      <x:c r="L77" s="57" t="str">
        <x:v>未执行</x:v>
      </x:c>
    </x:row>
    <x:row r="78" ht="54" customHeight="1">
      <x:c r="A78" s="57" t="str">
        <x:v>GJ-077</x:v>
      </x:c>
      <x:c r="B78" s="57" t="str">
        <x:v>性能</x:v>
      </x:c>
      <x:c r="C78" s="57" t="str">
        <x:v>查询</x:v>
      </x:c>
      <x:c r="D78" s="56" t="str">
        <x:v>低频词与未登录词查询</x:v>
      </x:c>
      <x:c r="E78" s="56" t="str">
        <x:v>准备低频词、业务型号和未登录词</x:v>
      </x:c>
      <x:c r="F78" s="56" t="str">
        <x:v>分别执行 ngram/gojieba 查询并记录结果和耗时</x:v>
      </x:c>
      <x:c r="G78" s="56" t="str">
        <x:v>解释召回差异；无 gojieba 查询侧/索引侧 token 不一致；输出性能对照</x:v>
      </x:c>
      <x:c r="H78" s="57" t="str">
        <x:v>P0</x:v>
      </x:c>
      <x:c r="I78" s="57" t="str">
        <x:v>BigData</x:v>
      </x:c>
      <x:c r="J78" s="57" t="str">
        <x:v>自动化</x:v>
      </x:c>
      <x:c r="K78" s="57" t="str"/>
      <x:c r="L78" s="57" t="str">
        <x:v>未执行</x:v>
      </x:c>
    </x:row>
    <x:row r="79" ht="54" customHeight="1">
      <x:c r="A79" s="57" t="str">
        <x:v>GJ-078</x:v>
      </x:c>
      <x:c r="B79" s="57" t="str">
        <x:v>性能</x:v>
      </x:c>
      <x:c r="C79" s="57" t="str">
        <x:v>查询</x:v>
      </x:c>
      <x:c r="D79" s="56" t="str">
        <x:v>Boolean 多关键词和中文 phrase</x:v>
      </x:c>
      <x:c r="E79" s="56" t="str">
        <x:v>准备 2、5、10 个关键词及 2/3/5 token phrase</x:v>
      </x:c>
      <x:c r="F79" s="56" t="str">
        <x:v>预热后循环执行并记录 p50/p95</x:v>
      </x:c>
      <x:c r="G79" s="56" t="str">
        <x:v>结果稳定；耗时和内存无随轮次持续增长；phrase 无组合爆炸</x:v>
      </x:c>
      <x:c r="H79" s="57" t="str">
        <x:v>P1</x:v>
      </x:c>
      <x:c r="I79" s="57" t="str">
        <x:v>BigData</x:v>
      </x:c>
      <x:c r="J79" s="57" t="str">
        <x:v>自动化</x:v>
      </x:c>
      <x:c r="K79" s="57" t="str"/>
      <x:c r="L79" s="57" t="str">
        <x:v>未执行</x:v>
      </x:c>
    </x:row>
    <x:row r="80" ht="54" customHeight="1">
      <x:c r="A80" s="57" t="str">
        <x:v>GJ-079</x:v>
      </x:c>
      <x:c r="B80" s="57" t="str">
        <x:v>性能</x:v>
      </x:c>
      <x:c r="C80" s="57" t="str">
        <x:v>并发</x:v>
      </x:c>
      <x:c r="D80" s="56" t="str">
        <x:v>10/50/100 并发查询</x:v>
      </x:c>
      <x:c r="E80" s="56" t="str">
        <x:v>固定大数据快照和查询集</x:v>
      </x:c>
      <x:c r="F80" s="56" t="str">
        <x:v>对 ngram/gojieba 分别运行阶梯并发，记录 QPS、p95、错误率、CN 内存</x:v>
      </x:c>
      <x:c r="G80" s="56" t="str">
        <x:v>无错误、OOM 或 panic；输出两种 parser 并发能力对照</x:v>
      </x:c>
      <x:c r="H80" s="57" t="str">
        <x:v>P0</x:v>
      </x:c>
      <x:c r="I80" s="57" t="str">
        <x:v>Performance</x:v>
      </x:c>
      <x:c r="J80" s="57" t="str">
        <x:v>自动化</x:v>
      </x:c>
      <x:c r="K80" s="57" t="str"/>
      <x:c r="L80" s="57" t="str">
        <x:v>未执行</x:v>
      </x:c>
    </x:row>
    <x:row r="81" ht="54" customHeight="1">
      <x:c r="A81" s="57" t="str">
        <x:v>GJ-080</x:v>
      </x:c>
      <x:c r="B81" s="57" t="str">
        <x:v>性能</x:v>
      </x:c>
      <x:c r="C81" s="57" t="str">
        <x:v>稳定性</x:v>
      </x:c>
      <x:c r="D81" s="56" t="str">
        <x:v>长时间混合查询内存稳定性</x:v>
      </x:c>
      <x:c r="E81" s="56" t="str">
        <x:v>多 CN 环境；NL/Boolean/phrase 混合负载</x:v>
      </x:c>
      <x:c r="F81" s="56" t="str">
        <x:v>持续 2 小时运行，监控 RSS、mpool、goroutine、重启和错误日志</x:v>
      </x:c>
      <x:c r="G81" s="56" t="str">
        <x:v>无持续内存增长、OOM、panic、CN 重启或 tokenizer 资源泄漏</x:v>
      </x:c>
      <x:c r="H81" s="57" t="str">
        <x:v>P0</x:v>
      </x:c>
      <x:c r="I81" s="57" t="str">
        <x:v>Stability</x:v>
      </x:c>
      <x:c r="J81" s="57" t="str">
        <x:v>自动化</x:v>
      </x:c>
      <x:c r="K81" s="57" t="str"/>
      <x:c r="L81" s="57" t="str">
        <x:v>未执行</x:v>
      </x:c>
    </x:row>
    <x:row r="82" ht="54" customHeight="1">
      <x:c r="A82" s="57" t="str">
        <x:v>GJ-081</x:v>
      </x:c>
      <x:c r="B82" s="57" t="str">
        <x:v>性能</x:v>
      </x:c>
      <x:c r="C82" s="57" t="str">
        <x:v>DML</x:v>
      </x:c>
      <x:c r="D82" s="56" t="str">
        <x:v>大数据增量维护</x:v>
      </x:c>
      <x:c r="E82" s="56" t="str">
        <x:v>1000 万行 gojieba 索引；持续批量插入/更新/删除</x:v>
      </x:c>
      <x:c r="F82" s="56" t="str">
        <x:v>记录写入吞吐、索引可见延迟和查询正确性</x:v>
      </x:c>
      <x:c r="G82" s="56" t="str">
        <x:v>同步/异步模式符合可见性约定；最终索引与源表一致；无积压失控</x:v>
      </x:c>
      <x:c r="H82" s="57" t="str">
        <x:v>P0</x:v>
      </x:c>
      <x:c r="I82" s="57" t="str">
        <x:v>BigData</x:v>
      </x:c>
      <x:c r="J82" s="57" t="str">
        <x:v>自动化</x:v>
      </x:c>
      <x:c r="K82" s="57" t="str"/>
      <x:c r="L82" s="57" t="str">
        <x:v>未执行</x:v>
      </x:c>
    </x:row>
  </x:sheetData>
  <x:conditionalFormatting sqref="H2:H82">
    <x:cfRule type="containsText" dxfId="0" priority="1" operator="containsText" text="P0"/>
    <x:cfRule type="containsText" dxfId="1" priority="2" operator="containsText" text="P1"/>
  </x:conditionalFormatting>
  <x:conditionalFormatting sqref="L2:L82">
    <x:cfRule type="containsText" dxfId="2" priority="3" operator="containsText" text="通过"/>
    <x:cfRule type="containsText" dxfId="3" priority="4" operator="containsText" text="失败"/>
  </x:conditionalFormatting>
  <x:dataValidations count="3">
    <x:dataValidation type="list" sqref="H2:H82">
      <x:formula1>"P0,P1,P2"</x:formula1>
    </x:dataValidation>
    <x:dataValidation type="list" sqref="J2:J82">
      <x:formula1>"自动化,半自动,Issue Skip"</x:formula1>
    </x:dataValidation>
    <x:dataValidation type="list" sqref="L2:L82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2b1229b52a40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46" hidden="0" customWidth="1"/>
    <x:col min="5" max="5" width="24" hidden="0" customWidth="1"/>
    <x:col min="6" max="6" width="32" hidden="0" customWidth="1"/>
    <x:col min="7" max="7" width="40" hidden="0" customWidth="1"/>
    <x:col min="8" max="8" width="34" hidden="0" customWidth="1"/>
  </x:cols>
  <x:sheetData>
    <x:row r="1">
      <x:c r="A1" s="3" t="str">
        <x:v>ngram 与 gojieba 对照基线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对比项</x:v>
      </x:c>
      <x:c r="B3" s="10" t="str">
        <x:v>ngram</x:v>
      </x:c>
      <x:c r="C3" s="10" t="str">
        <x:v>gojieba</x:v>
      </x:c>
      <x:c r="D3" s="10" t="str">
        <x:v>验证方法</x:v>
      </x:c>
      <x:c r="E3" s="10" t="str">
        <x:v>数据规模</x:v>
      </x:c>
      <x:c r="F3" s="10" t="str">
        <x:v>记录指标</x:v>
      </x:c>
      <x:c r="G3" s="10" t="str">
        <x:v>通过条件</x:v>
      </x:c>
      <x:c r="H3" s="10" t="str">
        <x:v>备注</x:v>
      </x:c>
    </x:row>
    <x:row r="4" ht="64" customHeight="1">
      <x:c r="A4" s="36" t="str">
        <x:v>分词规则</x:v>
      </x:c>
      <x:c r="B4" s="36" t="str">
        <x:v>连续 3 个中文字符的重叠窗口</x:v>
      </x:c>
      <x:c r="C4" s="36" t="str">
        <x:v>静态词典分词，HMM=false</x:v>
      </x:c>
      <x:c r="D4" s="36" t="str">
        <x:v>对同一文本执行 fulltext_index_tokenize 并按 pos 排序</x:v>
      </x:c>
      <x:c r="E4" s="36" t="str">
        <x:v>固定短文本</x:v>
      </x:c>
      <x:c r="F4" s="36" t="str">
        <x:v>token、pos、DocLen</x:v>
      </x:c>
      <x:c r="G4" s="36" t="str">
        <x:v>输出符合各自契约</x:v>
      </x:c>
      <x:c r="H4" s="36" t="str">
        <x:v>必须保留结果证据</x:v>
      </x:c>
    </x:row>
    <x:row r="5" ht="64" customHeight="1">
      <x:c r="A5" s="36" t="str">
        <x:v>示例：我来到北京清华大学</x:v>
      </x:c>
      <x:c r="B5" s="36" t="str">
        <x:v>我来到、来到北、到北京、北京清、京清华、清华大、华大学</x:v>
      </x:c>
      <x:c r="C5" s="36" t="str">
        <x:v>我、来到、北京、清华大学</x:v>
      </x:c>
      <x:c r="D5" s="36" t="str">
        <x:v>分别建索引并读取隐藏索引词条</x:v>
      </x:c>
      <x:c r="E5" s="36" t="str">
        <x:v>1 行</x:v>
      </x:c>
      <x:c r="F5" s="36" t="str">
        <x:v>token 数和内容</x:v>
      </x:c>
      <x:c r="G5" s="36" t="str">
        <x:v>与左侧预期一致</x:v>
      </x:c>
      <x:c r="H5" s="36" t="str">
        <x:v>gojieba 不应产生 ngram 片段</x:v>
      </x:c>
    </x:row>
    <x:row r="6" ht="64" customHeight="1">
      <x:c r="A6" s="36" t="str">
        <x:v>索引构建</x:v>
      </x:c>
      <x:c r="B6" s="36" t="str">
        <x:v>先创建并完成查询后 DROP INDEX</x:v>
      </x:c>
      <x:c r="C6" s="36" t="str">
        <x:v>在同一数据快照上重新创建</x:v>
      </x:c>
      <x:c r="D6" s="36" t="str">
        <x:v>单机/TKE 分别运行</x:v>
      </x:c>
      <x:c r="E6" s="36" t="str">
        <x:v>10 万/100 万/1000 万行</x:v>
      </x:c>
      <x:c r="F6" s="36" t="str">
        <x:v>耗时、CPU、峰值内存</x:v>
      </x:c>
      <x:c r="G6" s="36" t="str">
        <x:v>无失败；输出对照数据</x:v>
      </x:c>
      <x:c r="H6" s="36" t="str">
        <x:v>不预设未经评审的性能门槛</x:v>
      </x:c>
    </x:row>
    <x:row r="7" ht="64" customHeight="1">
      <x:c r="A7" s="36" t="str">
        <x:v>索引规模</x:v>
      </x:c>
      <x:c r="B7" s="36" t="str">
        <x:v>统计隐藏表 token 行数和存储</x:v>
      </x:c>
      <x:c r="C7" s="36" t="str">
        <x:v>统计隐藏表 token 行数和存储</x:v>
      </x:c>
      <x:c r="D7" s="36" t="str">
        <x:v>相同数据、相同压缩和副本配置</x:v>
      </x:c>
      <x:c r="E7" s="36" t="str">
        <x:v>同上</x:v>
      </x:c>
      <x:c r="F7" s="36" t="str">
        <x:v>行数、对象大小、压缩后大小</x:v>
      </x:c>
      <x:c r="G7" s="36" t="str">
        <x:v>结果可复现且无数据错误</x:v>
      </x:c>
      <x:c r="H7" s="36" t="str">
        <x:v>记录 gojieba/ngram 比值</x:v>
      </x:c>
    </x:row>
    <x:row r="8" ht="64" customHeight="1">
      <x:c r="A8" s="36" t="str">
        <x:v>高频词 Top-K</x:v>
      </x:c>
      <x:c r="B8" s="36" t="str">
        <x:v>字符片段召回</x:v>
      </x:c>
      <x:c r="C8" s="36" t="str">
        <x:v>词典词召回</x:v>
      </x:c>
      <x:c r="D8" s="36" t="str">
        <x:v>命中率 1%/10%/50%，预热后各 10 轮</x:v>
      </x:c>
      <x:c r="E8" s="36" t="str">
        <x:v>1000 万行</x:v>
      </x:c>
      <x:c r="F8" s="36" t="str">
        <x:v>p50/p95、扫描量、RSS</x:v>
      </x:c>
      <x:c r="G8" s="36" t="str">
        <x:v>各自语义结果正确；无 OOM/panic</x:v>
      </x:c>
      <x:c r="H8" s="36" t="str">
        <x:v>保留 profile</x:v>
      </x:c>
    </x:row>
    <x:row r="9" ht="64" customHeight="1">
      <x:c r="A9" s="36" t="str">
        <x:v>词内子串</x:v>
      </x:c>
      <x:c r="B9" s="36" t="str">
        <x:v>短查询可能转前缀匹配</x:v>
      </x:c>
      <x:c r="C9" s="36" t="str">
        <x:v>不保证匹配完整词内部子串</x:v>
      </x:c>
      <x:c r="D9" s="36" t="str">
        <x:v>以清华大学/华大为对照</x:v>
      </x:c>
      <x:c r="E9" s="36" t="str">
        <x:v>固定功能集</x:v>
      </x:c>
      <x:c r="F9" s="36" t="str">
        <x:v>结果集合</x:v>
      </x:c>
      <x:c r="G9" s="36" t="str">
        <x:v>差异与 parser 语义一致</x:v>
      </x:c>
      <x:c r="H9" s="36" t="str">
        <x:v>不能将差异误判为 bug</x:v>
      </x:c>
    </x:row>
    <x:row r="10">
      <x:c r="A10" t="str">
        <x:v>未登录词</x:v>
      </x:c>
      <x:c r="B10" t="str">
        <x:v>不依赖词典</x:v>
      </x:c>
      <x:c r="C10" t="str">
        <x:v>按 dictionary-only 实际切分</x:v>
      </x:c>
      <x:c r="D10" t="str">
        <x:v>业务型号和专有名词集</x:v>
      </x:c>
      <x:c r="E10" t="str">
        <x:v>1 万词</x:v>
      </x:c>
      <x:c r="F10" t="str">
        <x:v>召回率、token 一致性</x:v>
      </x:c>
      <x:c r="G10" t="str">
        <x:v>索引侧与查询侧无漂移</x:v>
      </x:c>
      <x:c r="H10" t="str">
        <x:v>开发确认词典策略</x:v>
      </x:c>
    </x:row>
  </x:sheetData>
  <x:mergeCells>
    <x:mergeCell ref="A1:H1"/>
  </x:mergeCells>
  <x:pageMargins left="0.7" right="0.7" top="0.75" bottom="0.75" header="0.3" footer="0.3"/>
</x:worksheet>
</file>